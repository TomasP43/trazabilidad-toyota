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s" sheetId="1" state="visible" r:id="rId1"/>
    <sheet xmlns:r="http://schemas.openxmlformats.org/officeDocument/2006/relationships" name="Modelos" sheetId="2" state="visible" r:id="rId2"/>
    <sheet xmlns:r="http://schemas.openxmlformats.org/officeDocument/2006/relationships" name="Parte" sheetId="3" state="visible" r:id="rId3"/>
    <sheet xmlns:r="http://schemas.openxmlformats.org/officeDocument/2006/relationships" name="Tipo daño" sheetId="4" state="visible" r:id="rId4"/>
    <sheet xmlns:r="http://schemas.openxmlformats.org/officeDocument/2006/relationships" name="Unidades" sheetId="5" state="visible" r:id="rId5"/>
    <sheet xmlns:r="http://schemas.openxmlformats.org/officeDocument/2006/relationships" name="Inspecciones" sheetId="6" state="visible" r:id="rId6"/>
    <sheet xmlns:r="http://schemas.openxmlformats.org/officeDocument/2006/relationships" name="Listado total Precarga" sheetId="7" state="visible" r:id="rId7"/>
    <sheet xmlns:r="http://schemas.openxmlformats.org/officeDocument/2006/relationships" name="Resumen por par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</cols>
  <sheetData>
    <row r="1" ht="28" customHeight="1">
      <c r="A1" s="1" t="inlineStr">
        <is>
          <t>ID_distribuidor</t>
        </is>
      </c>
      <c r="B1" s="1" t="inlineStr">
        <is>
          <t>Distribuidor</t>
        </is>
      </c>
      <c r="C1" s="1" t="inlineStr">
        <is>
          <t>País</t>
        </is>
      </c>
    </row>
    <row r="2">
      <c r="A2" s="2" t="n">
        <v>1</v>
      </c>
      <c r="B2" s="3" t="inlineStr">
        <is>
          <t>TDB</t>
        </is>
      </c>
      <c r="C2" s="3" t="inlineStr">
        <is>
          <t>Brasil</t>
        </is>
      </c>
    </row>
    <row r="3">
      <c r="A3" s="4" t="n">
        <v>2</v>
      </c>
      <c r="B3" s="5" t="inlineStr">
        <is>
          <t>TCL</t>
        </is>
      </c>
      <c r="C3" s="5" t="inlineStr">
        <is>
          <t>Chile</t>
        </is>
      </c>
    </row>
    <row r="4">
      <c r="A4" s="2" t="n">
        <v>3</v>
      </c>
      <c r="B4" s="3" t="inlineStr">
        <is>
          <t>Toyotoshi</t>
        </is>
      </c>
      <c r="C4" s="3" t="inlineStr">
        <is>
          <t>Paraguay</t>
        </is>
      </c>
    </row>
    <row r="5">
      <c r="A5" s="4" t="n">
        <v>4</v>
      </c>
      <c r="B5" s="5" t="inlineStr">
        <is>
          <t>Ayax</t>
        </is>
      </c>
      <c r="C5" s="5" t="inlineStr">
        <is>
          <t>Uruguay</t>
        </is>
      </c>
    </row>
    <row r="6">
      <c r="A6" s="2" t="n">
        <v>5</v>
      </c>
      <c r="B6" s="3" t="inlineStr">
        <is>
          <t>Toyosa</t>
        </is>
      </c>
      <c r="C6" s="3" t="inlineStr">
        <is>
          <t>Bolivia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22" customWidth="1" min="1" max="1"/>
  </cols>
  <sheetData>
    <row r="1" ht="28" customHeight="1">
      <c r="A1" s="1" t="inlineStr">
        <is>
          <t>Modelos</t>
        </is>
      </c>
    </row>
    <row r="2">
      <c r="A2" s="3" t="inlineStr">
        <is>
          <t>Hilux</t>
        </is>
      </c>
    </row>
    <row r="3">
      <c r="A3" s="5" t="inlineStr">
        <is>
          <t>Fortuner</t>
        </is>
      </c>
    </row>
    <row r="4">
      <c r="A4" s="3" t="inlineStr">
        <is>
          <t>Corolla Cross</t>
        </is>
      </c>
    </row>
    <row r="5">
      <c r="A5" s="5" t="inlineStr">
        <is>
          <t>Corolla</t>
        </is>
      </c>
    </row>
    <row r="6">
      <c r="A6" s="3" t="inlineStr">
        <is>
          <t>Yaris</t>
        </is>
      </c>
    </row>
    <row r="7">
      <c r="A7" s="5" t="inlineStr">
        <is>
          <t>Hiace</t>
        </is>
      </c>
    </row>
    <row r="8">
      <c r="A8" s="3" t="inlineStr">
        <is>
          <t>GR86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40" customWidth="1" min="1" max="1"/>
  </cols>
  <sheetData>
    <row r="1" ht="28" customHeight="1">
      <c r="A1" s="1" t="inlineStr">
        <is>
          <t>Parte del vehículo</t>
        </is>
      </c>
    </row>
    <row r="2">
      <c r="A2" s="3" t="inlineStr">
        <is>
          <t>Paragolpe delantero</t>
        </is>
      </c>
    </row>
    <row r="3">
      <c r="A3" s="5" t="inlineStr">
        <is>
          <t>Paragolpe trasero</t>
        </is>
      </c>
    </row>
    <row r="4">
      <c r="A4" s="3" t="inlineStr">
        <is>
          <t>Guardabarro delantero derecho</t>
        </is>
      </c>
    </row>
    <row r="5">
      <c r="A5" s="5" t="inlineStr">
        <is>
          <t>Guardabarro delantero izquierdo</t>
        </is>
      </c>
    </row>
    <row r="6">
      <c r="A6" s="3" t="inlineStr">
        <is>
          <t>Guardabarro trasero derecho</t>
        </is>
      </c>
    </row>
    <row r="7">
      <c r="A7" s="5" t="inlineStr">
        <is>
          <t>Guardabarro trasero izquierdo</t>
        </is>
      </c>
    </row>
    <row r="8">
      <c r="A8" s="3" t="inlineStr">
        <is>
          <t>Capot</t>
        </is>
      </c>
    </row>
    <row r="9">
      <c r="A9" s="5" t="inlineStr">
        <is>
          <t>Parrilla</t>
        </is>
      </c>
    </row>
    <row r="10">
      <c r="A10" s="3" t="inlineStr">
        <is>
          <t>Espejo exterior derecho</t>
        </is>
      </c>
    </row>
    <row r="11">
      <c r="A11" s="5" t="inlineStr">
        <is>
          <t>Espejo exterior izquierdo</t>
        </is>
      </c>
    </row>
    <row r="12">
      <c r="A12" s="3" t="inlineStr">
        <is>
          <t>Parabrisas delantero</t>
        </is>
      </c>
    </row>
    <row r="13">
      <c r="A13" s="5" t="inlineStr">
        <is>
          <t>Optica delantera derecha</t>
        </is>
      </c>
    </row>
    <row r="14">
      <c r="A14" s="3" t="inlineStr">
        <is>
          <t>Optica delantera izquierda</t>
        </is>
      </c>
    </row>
    <row r="15">
      <c r="A15" s="5" t="inlineStr">
        <is>
          <t>Optica trasera derecha</t>
        </is>
      </c>
    </row>
    <row r="16">
      <c r="A16" s="3" t="inlineStr">
        <is>
          <t>Optica trasera izquierda</t>
        </is>
      </c>
    </row>
    <row r="17">
      <c r="A17" s="5" t="inlineStr">
        <is>
          <t>Techo</t>
        </is>
      </c>
    </row>
    <row r="18">
      <c r="A18" s="3" t="inlineStr">
        <is>
          <t>Estribo lateral derecho</t>
        </is>
      </c>
    </row>
    <row r="19">
      <c r="A19" s="5" t="inlineStr">
        <is>
          <t>Estribo lateral izquierdo</t>
        </is>
      </c>
    </row>
    <row r="20">
      <c r="A20" s="3" t="inlineStr">
        <is>
          <t>Llantas</t>
        </is>
      </c>
    </row>
    <row r="21">
      <c r="A21" s="5" t="inlineStr">
        <is>
          <t>Puerta delantera derecha</t>
        </is>
      </c>
    </row>
    <row r="22">
      <c r="A22" s="3" t="inlineStr">
        <is>
          <t>Puerta delantera izquierda</t>
        </is>
      </c>
    </row>
    <row r="23">
      <c r="A23" s="5" t="inlineStr">
        <is>
          <t>Puerta trasera derecha</t>
        </is>
      </c>
    </row>
    <row r="24">
      <c r="A24" s="3" t="inlineStr">
        <is>
          <t>Puerta trasera izquierda</t>
        </is>
      </c>
    </row>
    <row r="25">
      <c r="A25" s="5" t="inlineStr">
        <is>
          <t>Zócalo lateral derecho</t>
        </is>
      </c>
    </row>
    <row r="26">
      <c r="A26" s="3" t="inlineStr">
        <is>
          <t>Zócalo lateral izquierdo</t>
        </is>
      </c>
    </row>
    <row r="27">
      <c r="A27" s="5" t="inlineStr">
        <is>
          <t>Pilar delantero derecho</t>
        </is>
      </c>
    </row>
    <row r="28">
      <c r="A28" s="3" t="inlineStr">
        <is>
          <t>Pilar delantero izquierdo</t>
        </is>
      </c>
    </row>
    <row r="29">
      <c r="A29" s="5" t="inlineStr">
        <is>
          <t>Pilar trasero derecho</t>
        </is>
      </c>
    </row>
    <row r="30">
      <c r="A30" s="3" t="inlineStr">
        <is>
          <t>Pilar trasero izquierdo</t>
        </is>
      </c>
    </row>
    <row r="31">
      <c r="A31" s="5" t="inlineStr">
        <is>
          <t>Interior caja pick-up (Hilux)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 ht="28" customHeight="1">
      <c r="A1" s="1" t="inlineStr">
        <is>
          <t>Tipo de daño</t>
        </is>
      </c>
    </row>
    <row r="2">
      <c r="A2" s="3" t="inlineStr">
        <is>
          <t>Rayado</t>
        </is>
      </c>
    </row>
    <row r="3">
      <c r="A3" s="5" t="inlineStr">
        <is>
          <t>Abollado</t>
        </is>
      </c>
    </row>
    <row r="4">
      <c r="A4" s="3" t="inlineStr">
        <is>
          <t>Mellado</t>
        </is>
      </c>
    </row>
    <row r="5">
      <c r="A5" s="5" t="inlineStr">
        <is>
          <t>Filo de panel</t>
        </is>
      </c>
    </row>
    <row r="6">
      <c r="A6" s="3" t="inlineStr">
        <is>
          <t>Fallo de pintura</t>
        </is>
      </c>
    </row>
    <row r="7">
      <c r="A7" s="5" t="inlineStr">
        <is>
          <t>Roto</t>
        </is>
      </c>
    </row>
    <row r="8">
      <c r="A8" s="3" t="inlineStr">
        <is>
          <t>Doblado</t>
        </is>
      </c>
    </row>
    <row r="9">
      <c r="A9" s="5" t="inlineStr">
        <is>
          <t>Faltante</t>
        </is>
      </c>
    </row>
    <row r="10">
      <c r="A10" s="3" t="inlineStr">
        <is>
          <t>Desprendido</t>
        </is>
      </c>
    </row>
    <row r="11">
      <c r="A11" s="5" t="inlineStr">
        <is>
          <t>Cortado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ID_VIN</t>
        </is>
      </c>
      <c r="B1" s="1" t="inlineStr">
        <is>
          <t>Equipo</t>
        </is>
      </c>
      <c r="C1" s="1" t="inlineStr">
        <is>
          <t>Flujo</t>
        </is>
      </c>
      <c r="D1" s="1" t="inlineStr">
        <is>
          <t>País</t>
        </is>
      </c>
      <c r="E1" s="1" t="inlineStr">
        <is>
          <t>Modelo</t>
        </is>
      </c>
      <c r="F1" s="1" t="inlineStr">
        <is>
          <t>Secuencia</t>
        </is>
      </c>
      <c r="G1" s="1" t="inlineStr">
        <is>
          <t>Fecha de carga</t>
        </is>
      </c>
    </row>
    <row r="2">
      <c r="A2" s="2" t="inlineStr">
        <is>
          <t>8AJAKH1Z6CPAHTAGY</t>
        </is>
      </c>
      <c r="B2" s="2" t="n">
        <v>4774</v>
      </c>
      <c r="C2" s="3" t="inlineStr">
        <is>
          <t>TDB</t>
        </is>
      </c>
      <c r="D2" s="3" t="inlineStr">
        <is>
          <t>Brasil</t>
        </is>
      </c>
      <c r="E2" s="3" t="inlineStr">
        <is>
          <t>Corolla</t>
        </is>
      </c>
      <c r="F2" s="2" t="n">
        <v>4</v>
      </c>
      <c r="G2" s="2" t="inlineStr">
        <is>
          <t>2025-01-16</t>
        </is>
      </c>
    </row>
    <row r="3">
      <c r="A3" s="4" t="inlineStr">
        <is>
          <t>8AJK52FPKH2DNMMJB</t>
        </is>
      </c>
      <c r="B3" s="4" t="n">
        <v>4219</v>
      </c>
      <c r="C3" s="5" t="inlineStr">
        <is>
          <t>Toyosa</t>
        </is>
      </c>
      <c r="D3" s="5" t="inlineStr">
        <is>
          <t>Bolivia</t>
        </is>
      </c>
      <c r="E3" s="5" t="inlineStr">
        <is>
          <t>Yaris</t>
        </is>
      </c>
      <c r="F3" s="4" t="n">
        <v>2</v>
      </c>
      <c r="G3" s="4" t="inlineStr">
        <is>
          <t>2024-12-11</t>
        </is>
      </c>
    </row>
    <row r="4">
      <c r="A4" s="2" t="inlineStr">
        <is>
          <t>8AJV4X5W0BHKCHDKX</t>
        </is>
      </c>
      <c r="B4" s="2" t="n">
        <v>3553</v>
      </c>
      <c r="C4" s="3" t="inlineStr">
        <is>
          <t>TDB</t>
        </is>
      </c>
      <c r="D4" s="3" t="inlineStr">
        <is>
          <t>Brasil</t>
        </is>
      </c>
      <c r="E4" s="3" t="inlineStr">
        <is>
          <t>Fortuner</t>
        </is>
      </c>
      <c r="F4" s="2" t="n">
        <v>6</v>
      </c>
      <c r="G4" s="2" t="inlineStr">
        <is>
          <t>2024-11-29</t>
        </is>
      </c>
    </row>
    <row r="5">
      <c r="A5" s="4" t="inlineStr">
        <is>
          <t>8AJZ0ZCXUJSJ7ZHL2</t>
        </is>
      </c>
      <c r="B5" s="4" t="n">
        <v>1333</v>
      </c>
      <c r="C5" s="5" t="inlineStr">
        <is>
          <t>TCL</t>
        </is>
      </c>
      <c r="D5" s="5" t="inlineStr">
        <is>
          <t>Chile</t>
        </is>
      </c>
      <c r="E5" s="5" t="inlineStr">
        <is>
          <t>Fortuner</t>
        </is>
      </c>
      <c r="F5" s="4" t="n">
        <v>1</v>
      </c>
      <c r="G5" s="4" t="inlineStr">
        <is>
          <t>2024-11-09</t>
        </is>
      </c>
    </row>
    <row r="6">
      <c r="A6" s="2" t="inlineStr">
        <is>
          <t>8AJJG85LYP7SJJVJW</t>
        </is>
      </c>
      <c r="B6" s="2" t="n">
        <v>5107</v>
      </c>
      <c r="C6" s="3" t="inlineStr">
        <is>
          <t>Ayax</t>
        </is>
      </c>
      <c r="D6" s="3" t="inlineStr">
        <is>
          <t>Uruguay</t>
        </is>
      </c>
      <c r="E6" s="3" t="inlineStr">
        <is>
          <t>Corolla</t>
        </is>
      </c>
      <c r="F6" s="2" t="n">
        <v>6</v>
      </c>
      <c r="G6" s="2" t="inlineStr">
        <is>
          <t>2024-09-21</t>
        </is>
      </c>
    </row>
    <row r="7">
      <c r="A7" s="4" t="inlineStr">
        <is>
          <t>8AJTDBDX3PCN9U95A</t>
        </is>
      </c>
      <c r="B7" s="4" t="n">
        <v>1777</v>
      </c>
      <c r="C7" s="5" t="inlineStr">
        <is>
          <t>TCL</t>
        </is>
      </c>
      <c r="D7" s="5" t="inlineStr">
        <is>
          <t>Chile</t>
        </is>
      </c>
      <c r="E7" s="5" t="inlineStr">
        <is>
          <t>Hiace</t>
        </is>
      </c>
      <c r="F7" s="4" t="n">
        <v>5</v>
      </c>
      <c r="G7" s="4" t="inlineStr">
        <is>
          <t>2024-11-22</t>
        </is>
      </c>
    </row>
    <row r="8">
      <c r="A8" s="2" t="inlineStr">
        <is>
          <t>8AJKFA0092TDX4TGN</t>
        </is>
      </c>
      <c r="B8" s="2" t="n">
        <v>2110</v>
      </c>
      <c r="C8" s="3" t="inlineStr">
        <is>
          <t>TDB</t>
        </is>
      </c>
      <c r="D8" s="3" t="inlineStr">
        <is>
          <t>Brasil</t>
        </is>
      </c>
      <c r="E8" s="3" t="inlineStr">
        <is>
          <t>Yaris</t>
        </is>
      </c>
      <c r="F8" s="2" t="n">
        <v>1</v>
      </c>
      <c r="G8" s="2" t="inlineStr">
        <is>
          <t>2024-11-13</t>
        </is>
      </c>
    </row>
    <row r="9">
      <c r="A9" s="4" t="inlineStr">
        <is>
          <t>8AJA754LB58CTC22E</t>
        </is>
      </c>
      <c r="B9" s="4" t="n">
        <v>4330</v>
      </c>
      <c r="C9" s="5" t="inlineStr">
        <is>
          <t>Ayax</t>
        </is>
      </c>
      <c r="D9" s="5" t="inlineStr">
        <is>
          <t>Uruguay</t>
        </is>
      </c>
      <c r="E9" s="5" t="inlineStr">
        <is>
          <t>Yaris</t>
        </is>
      </c>
      <c r="F9" s="4" t="n">
        <v>3</v>
      </c>
      <c r="G9" s="4" t="inlineStr">
        <is>
          <t>2024-10-14</t>
        </is>
      </c>
    </row>
    <row r="10">
      <c r="A10" s="2" t="inlineStr">
        <is>
          <t>8AJ5PGU1GL9YRUDHM</t>
        </is>
      </c>
      <c r="B10" s="2" t="n">
        <v>5107</v>
      </c>
      <c r="C10" s="3" t="inlineStr">
        <is>
          <t>Toyosa</t>
        </is>
      </c>
      <c r="D10" s="3" t="inlineStr">
        <is>
          <t>Bolivia</t>
        </is>
      </c>
      <c r="E10" s="3" t="inlineStr">
        <is>
          <t>Yaris</t>
        </is>
      </c>
      <c r="F10" s="2" t="n">
        <v>4</v>
      </c>
      <c r="G10" s="2" t="inlineStr">
        <is>
          <t>2024-09-21</t>
        </is>
      </c>
    </row>
    <row r="11">
      <c r="A11" s="4" t="inlineStr">
        <is>
          <t>8AJCXH65CHZHE7VS2</t>
        </is>
      </c>
      <c r="B11" s="4" t="n">
        <v>3886</v>
      </c>
      <c r="C11" s="5" t="inlineStr">
        <is>
          <t>TDB</t>
        </is>
      </c>
      <c r="D11" s="5" t="inlineStr">
        <is>
          <t>Brasil</t>
        </is>
      </c>
      <c r="E11" s="5" t="inlineStr">
        <is>
          <t>Fortuner</t>
        </is>
      </c>
      <c r="F11" s="4" t="n">
        <v>2</v>
      </c>
      <c r="G11" s="4" t="inlineStr">
        <is>
          <t>2024-07-20</t>
        </is>
      </c>
    </row>
    <row r="12">
      <c r="A12" s="2" t="inlineStr">
        <is>
          <t>8AJMP5BYYC13DGUEG</t>
        </is>
      </c>
      <c r="B12" s="2" t="n">
        <v>4219</v>
      </c>
      <c r="C12" s="3" t="inlineStr">
        <is>
          <t>Ayax</t>
        </is>
      </c>
      <c r="D12" s="3" t="inlineStr">
        <is>
          <t>Uruguay</t>
        </is>
      </c>
      <c r="E12" s="3" t="inlineStr">
        <is>
          <t>Fortuner</t>
        </is>
      </c>
      <c r="F12" s="2" t="n">
        <v>2</v>
      </c>
      <c r="G12" s="2" t="inlineStr">
        <is>
          <t>2025-01-13</t>
        </is>
      </c>
    </row>
    <row r="13">
      <c r="A13" s="4" t="inlineStr">
        <is>
          <t>8AJDYUAD1HPS56FAN</t>
        </is>
      </c>
      <c r="B13" s="4" t="n">
        <v>4219</v>
      </c>
      <c r="C13" s="5" t="inlineStr">
        <is>
          <t>Toyosa</t>
        </is>
      </c>
      <c r="D13" s="5" t="inlineStr">
        <is>
          <t>Bolivia</t>
        </is>
      </c>
      <c r="E13" s="5" t="inlineStr">
        <is>
          <t>Corolla Cross</t>
        </is>
      </c>
      <c r="F13" s="4" t="n">
        <v>7</v>
      </c>
      <c r="G13" s="4" t="inlineStr">
        <is>
          <t>2025-03-12</t>
        </is>
      </c>
    </row>
    <row r="14">
      <c r="A14" s="2" t="inlineStr">
        <is>
          <t>8AJFK8WU1BWT5F8CG</t>
        </is>
      </c>
      <c r="B14" s="2" t="n">
        <v>5218</v>
      </c>
      <c r="C14" s="3" t="inlineStr">
        <is>
          <t>Ayax</t>
        </is>
      </c>
      <c r="D14" s="3" t="inlineStr">
        <is>
          <t>Uruguay</t>
        </is>
      </c>
      <c r="E14" s="3" t="inlineStr">
        <is>
          <t>Hilux</t>
        </is>
      </c>
      <c r="F14" s="2" t="n">
        <v>4</v>
      </c>
      <c r="G14" s="2" t="inlineStr">
        <is>
          <t>2024-12-24</t>
        </is>
      </c>
    </row>
    <row r="15">
      <c r="A15" s="4" t="inlineStr">
        <is>
          <t>8AJ8VWBCYVLJZLJEY</t>
        </is>
      </c>
      <c r="B15" s="4" t="n">
        <v>4219</v>
      </c>
      <c r="C15" s="5" t="inlineStr">
        <is>
          <t>TDB</t>
        </is>
      </c>
      <c r="D15" s="5" t="inlineStr">
        <is>
          <t>Brasil</t>
        </is>
      </c>
      <c r="E15" s="5" t="inlineStr">
        <is>
          <t>Corolla Cross</t>
        </is>
      </c>
      <c r="F15" s="4" t="n">
        <v>2</v>
      </c>
      <c r="G15" s="4" t="inlineStr">
        <is>
          <t>2024-06-05</t>
        </is>
      </c>
    </row>
    <row r="16">
      <c r="A16" s="2" t="inlineStr">
        <is>
          <t>8AJXVDUTEMCJKRUK9</t>
        </is>
      </c>
      <c r="B16" s="2" t="n">
        <v>4663</v>
      </c>
      <c r="C16" s="3" t="inlineStr">
        <is>
          <t>Ayax</t>
        </is>
      </c>
      <c r="D16" s="3" t="inlineStr">
        <is>
          <t>Uruguay</t>
        </is>
      </c>
      <c r="E16" s="3" t="inlineStr">
        <is>
          <t>Hilux</t>
        </is>
      </c>
      <c r="F16" s="2" t="n">
        <v>5</v>
      </c>
      <c r="G16" s="2" t="inlineStr">
        <is>
          <t>2024-07-24</t>
        </is>
      </c>
    </row>
    <row r="17">
      <c r="A17" s="4" t="inlineStr">
        <is>
          <t>8AJJ61FKGMZ5TJ6BX</t>
        </is>
      </c>
      <c r="B17" s="4" t="n">
        <v>2887</v>
      </c>
      <c r="C17" s="5" t="inlineStr">
        <is>
          <t>TCL</t>
        </is>
      </c>
      <c r="D17" s="5" t="inlineStr">
        <is>
          <t>Chile</t>
        </is>
      </c>
      <c r="E17" s="5" t="inlineStr">
        <is>
          <t>Hilux</t>
        </is>
      </c>
      <c r="F17" s="4" t="n">
        <v>1</v>
      </c>
      <c r="G17" s="4" t="inlineStr">
        <is>
          <t>2024-11-18</t>
        </is>
      </c>
    </row>
    <row r="18">
      <c r="A18" s="2" t="inlineStr">
        <is>
          <t>8AJYJ1VRAC66V4WEE</t>
        </is>
      </c>
      <c r="B18" s="2" t="n">
        <v>3109</v>
      </c>
      <c r="C18" s="3" t="inlineStr">
        <is>
          <t>TCL</t>
        </is>
      </c>
      <c r="D18" s="3" t="inlineStr">
        <is>
          <t>Chile</t>
        </is>
      </c>
      <c r="E18" s="3" t="inlineStr">
        <is>
          <t>Corolla Cross</t>
        </is>
      </c>
      <c r="F18" s="2" t="n">
        <v>1</v>
      </c>
      <c r="G18" s="2" t="inlineStr">
        <is>
          <t>2024-12-01</t>
        </is>
      </c>
    </row>
    <row r="19">
      <c r="A19" s="4" t="inlineStr">
        <is>
          <t>8AJZZMV5917HF3FPF</t>
        </is>
      </c>
      <c r="B19" s="4" t="n">
        <v>3331</v>
      </c>
      <c r="C19" s="5" t="inlineStr">
        <is>
          <t>TCL</t>
        </is>
      </c>
      <c r="D19" s="5" t="inlineStr">
        <is>
          <t>Chile</t>
        </is>
      </c>
      <c r="E19" s="5" t="inlineStr">
        <is>
          <t>GR86</t>
        </is>
      </c>
      <c r="F19" s="4" t="n">
        <v>7</v>
      </c>
      <c r="G19" s="4" t="inlineStr">
        <is>
          <t>2024-10-06</t>
        </is>
      </c>
    </row>
    <row r="20">
      <c r="A20" s="2" t="inlineStr">
        <is>
          <t>8AJF0NBSG7M45HYPK</t>
        </is>
      </c>
      <c r="B20" s="2" t="n">
        <v>1444</v>
      </c>
      <c r="C20" s="3" t="inlineStr">
        <is>
          <t>Toyotoshi</t>
        </is>
      </c>
      <c r="D20" s="3" t="inlineStr">
        <is>
          <t>Paraguay</t>
        </is>
      </c>
      <c r="E20" s="3" t="inlineStr">
        <is>
          <t>GR86</t>
        </is>
      </c>
      <c r="F20" s="2" t="n">
        <v>5</v>
      </c>
      <c r="G20" s="2" t="inlineStr">
        <is>
          <t>2024-11-27</t>
        </is>
      </c>
    </row>
    <row r="21">
      <c r="A21" s="4" t="inlineStr">
        <is>
          <t>8AJP9U7D9F8JDR1LX</t>
        </is>
      </c>
      <c r="B21" s="4" t="n">
        <v>4552</v>
      </c>
      <c r="C21" s="5" t="inlineStr">
        <is>
          <t>Toyosa</t>
        </is>
      </c>
      <c r="D21" s="5" t="inlineStr">
        <is>
          <t>Bolivia</t>
        </is>
      </c>
      <c r="E21" s="5" t="inlineStr">
        <is>
          <t>Hilux</t>
        </is>
      </c>
      <c r="F21" s="4" t="n">
        <v>7</v>
      </c>
      <c r="G21" s="4" t="inlineStr">
        <is>
          <t>2025-03-23</t>
        </is>
      </c>
    </row>
    <row r="22">
      <c r="A22" s="2" t="inlineStr">
        <is>
          <t>8AJJ0A7U01ZNCYLL4</t>
        </is>
      </c>
      <c r="B22" s="2" t="n">
        <v>3109</v>
      </c>
      <c r="C22" s="3" t="inlineStr">
        <is>
          <t>TCL</t>
        </is>
      </c>
      <c r="D22" s="3" t="inlineStr">
        <is>
          <t>Chile</t>
        </is>
      </c>
      <c r="E22" s="3" t="inlineStr">
        <is>
          <t>Yaris</t>
        </is>
      </c>
      <c r="F22" s="2" t="n">
        <v>5</v>
      </c>
      <c r="G22" s="2" t="inlineStr">
        <is>
          <t>2024-12-27</t>
        </is>
      </c>
    </row>
    <row r="23">
      <c r="A23" s="4" t="inlineStr">
        <is>
          <t>8AJPKEP8Z6XKVAKRW</t>
        </is>
      </c>
      <c r="B23" s="4" t="n">
        <v>3220</v>
      </c>
      <c r="C23" s="5" t="inlineStr">
        <is>
          <t>Toyotoshi</t>
        </is>
      </c>
      <c r="D23" s="5" t="inlineStr">
        <is>
          <t>Paraguay</t>
        </is>
      </c>
      <c r="E23" s="5" t="inlineStr">
        <is>
          <t>Corolla</t>
        </is>
      </c>
      <c r="F23" s="4" t="n">
        <v>8</v>
      </c>
      <c r="G23" s="4" t="inlineStr">
        <is>
          <t>2025-01-13</t>
        </is>
      </c>
    </row>
    <row r="24">
      <c r="A24" s="2" t="inlineStr">
        <is>
          <t>8AJT381YKYXD8HL3E</t>
        </is>
      </c>
      <c r="B24" s="2" t="n">
        <v>1222</v>
      </c>
      <c r="C24" s="3" t="inlineStr">
        <is>
          <t>TCL</t>
        </is>
      </c>
      <c r="D24" s="3" t="inlineStr">
        <is>
          <t>Chile</t>
        </is>
      </c>
      <c r="E24" s="3" t="inlineStr">
        <is>
          <t>Fortuner</t>
        </is>
      </c>
      <c r="F24" s="2" t="n">
        <v>8</v>
      </c>
      <c r="G24" s="2" t="inlineStr">
        <is>
          <t>2024-07-08</t>
        </is>
      </c>
    </row>
    <row r="25">
      <c r="A25" s="4" t="inlineStr">
        <is>
          <t>8AJPXGZTJYA12DRF8</t>
        </is>
      </c>
      <c r="B25" s="4" t="n">
        <v>4663</v>
      </c>
      <c r="C25" s="5" t="inlineStr">
        <is>
          <t>Ayax</t>
        </is>
      </c>
      <c r="D25" s="5" t="inlineStr">
        <is>
          <t>Uruguay</t>
        </is>
      </c>
      <c r="E25" s="5" t="inlineStr">
        <is>
          <t>Corolla</t>
        </is>
      </c>
      <c r="F25" s="4" t="n">
        <v>1</v>
      </c>
      <c r="G25" s="4" t="inlineStr">
        <is>
          <t>2025-03-13</t>
        </is>
      </c>
    </row>
    <row r="26">
      <c r="A26" s="2" t="inlineStr">
        <is>
          <t>8AJ7EESUVL1R36R6R</t>
        </is>
      </c>
      <c r="B26" s="2" t="n">
        <v>2110</v>
      </c>
      <c r="C26" s="3" t="inlineStr">
        <is>
          <t>TCL</t>
        </is>
      </c>
      <c r="D26" s="3" t="inlineStr">
        <is>
          <t>Chile</t>
        </is>
      </c>
      <c r="E26" s="3" t="inlineStr">
        <is>
          <t>Hiace</t>
        </is>
      </c>
      <c r="F26" s="2" t="n">
        <v>8</v>
      </c>
      <c r="G26" s="2" t="inlineStr">
        <is>
          <t>2025-01-17</t>
        </is>
      </c>
    </row>
    <row r="27">
      <c r="A27" s="4" t="inlineStr">
        <is>
          <t>8AJ14K2SHR0HM6CEN</t>
        </is>
      </c>
      <c r="B27" s="4" t="n">
        <v>1999</v>
      </c>
      <c r="C27" s="5" t="inlineStr">
        <is>
          <t>Toyotoshi</t>
        </is>
      </c>
      <c r="D27" s="5" t="inlineStr">
        <is>
          <t>Paraguay</t>
        </is>
      </c>
      <c r="E27" s="5" t="inlineStr">
        <is>
          <t>Hiace</t>
        </is>
      </c>
      <c r="F27" s="4" t="n">
        <v>4</v>
      </c>
      <c r="G27" s="4" t="inlineStr">
        <is>
          <t>2024-07-03</t>
        </is>
      </c>
    </row>
    <row r="28">
      <c r="A28" s="2" t="inlineStr">
        <is>
          <t>8AJPUPGP6WZ52NAM1</t>
        </is>
      </c>
      <c r="B28" s="2" t="n">
        <v>3886</v>
      </c>
      <c r="C28" s="3" t="inlineStr">
        <is>
          <t>Ayax</t>
        </is>
      </c>
      <c r="D28" s="3" t="inlineStr">
        <is>
          <t>Uruguay</t>
        </is>
      </c>
      <c r="E28" s="3" t="inlineStr">
        <is>
          <t>Yaris</t>
        </is>
      </c>
      <c r="F28" s="2" t="n">
        <v>4</v>
      </c>
      <c r="G28" s="2" t="inlineStr">
        <is>
          <t>2025-02-05</t>
        </is>
      </c>
    </row>
    <row r="29">
      <c r="A29" s="4" t="inlineStr">
        <is>
          <t>8AJKTNZ30479U6WYC</t>
        </is>
      </c>
      <c r="B29" s="4" t="n">
        <v>3997</v>
      </c>
      <c r="C29" s="5" t="inlineStr">
        <is>
          <t>TCL</t>
        </is>
      </c>
      <c r="D29" s="5" t="inlineStr">
        <is>
          <t>Chile</t>
        </is>
      </c>
      <c r="E29" s="5" t="inlineStr">
        <is>
          <t>Fortuner</t>
        </is>
      </c>
      <c r="F29" s="4" t="n">
        <v>8</v>
      </c>
      <c r="G29" s="4" t="inlineStr">
        <is>
          <t>2024-09-02</t>
        </is>
      </c>
    </row>
    <row r="30">
      <c r="A30" s="2" t="inlineStr">
        <is>
          <t>8AJJLSM6K8P4S1B8H</t>
        </is>
      </c>
      <c r="B30" s="2" t="n">
        <v>1444</v>
      </c>
      <c r="C30" s="3" t="inlineStr">
        <is>
          <t>TDB</t>
        </is>
      </c>
      <c r="D30" s="3" t="inlineStr">
        <is>
          <t>Brasil</t>
        </is>
      </c>
      <c r="E30" s="3" t="inlineStr">
        <is>
          <t>GR86</t>
        </is>
      </c>
      <c r="F30" s="2" t="n">
        <v>1</v>
      </c>
      <c r="G30" s="2" t="inlineStr">
        <is>
          <t>2024-06-16</t>
        </is>
      </c>
    </row>
    <row r="31">
      <c r="A31" s="4" t="inlineStr">
        <is>
          <t>8AJGAFEZVH02FX1D4</t>
        </is>
      </c>
      <c r="B31" s="4" t="n">
        <v>3109</v>
      </c>
      <c r="C31" s="5" t="inlineStr">
        <is>
          <t>TCL</t>
        </is>
      </c>
      <c r="D31" s="5" t="inlineStr">
        <is>
          <t>Chile</t>
        </is>
      </c>
      <c r="E31" s="5" t="inlineStr">
        <is>
          <t>Hilux</t>
        </is>
      </c>
      <c r="F31" s="4" t="n">
        <v>1</v>
      </c>
      <c r="G31" s="4" t="inlineStr">
        <is>
          <t>2024-11-07</t>
        </is>
      </c>
    </row>
    <row r="32">
      <c r="A32" s="2" t="inlineStr">
        <is>
          <t>8AJZ8P0CZXD25WD92</t>
        </is>
      </c>
      <c r="B32" s="2" t="n">
        <v>3442</v>
      </c>
      <c r="C32" s="3" t="inlineStr">
        <is>
          <t>Toyosa</t>
        </is>
      </c>
      <c r="D32" s="3" t="inlineStr">
        <is>
          <t>Bolivia</t>
        </is>
      </c>
      <c r="E32" s="3" t="inlineStr">
        <is>
          <t>Yaris</t>
        </is>
      </c>
      <c r="F32" s="2" t="n">
        <v>7</v>
      </c>
      <c r="G32" s="2" t="inlineStr">
        <is>
          <t>2024-12-07</t>
        </is>
      </c>
    </row>
    <row r="33">
      <c r="A33" s="4" t="inlineStr">
        <is>
          <t>8AJTM54D8X40R18J3</t>
        </is>
      </c>
      <c r="B33" s="4" t="n">
        <v>4774</v>
      </c>
      <c r="C33" s="5" t="inlineStr">
        <is>
          <t>TDB</t>
        </is>
      </c>
      <c r="D33" s="5" t="inlineStr">
        <is>
          <t>Brasil</t>
        </is>
      </c>
      <c r="E33" s="5" t="inlineStr">
        <is>
          <t>GR86</t>
        </is>
      </c>
      <c r="F33" s="4" t="n">
        <v>8</v>
      </c>
      <c r="G33" s="4" t="inlineStr">
        <is>
          <t>2025-01-25</t>
        </is>
      </c>
    </row>
    <row r="34">
      <c r="A34" s="2" t="inlineStr">
        <is>
          <t>8AJ4WLJ7KR1VZMTLT</t>
        </is>
      </c>
      <c r="B34" s="2" t="n">
        <v>3442</v>
      </c>
      <c r="C34" s="3" t="inlineStr">
        <is>
          <t>Ayax</t>
        </is>
      </c>
      <c r="D34" s="3" t="inlineStr">
        <is>
          <t>Uruguay</t>
        </is>
      </c>
      <c r="E34" s="3" t="inlineStr">
        <is>
          <t>GR86</t>
        </is>
      </c>
      <c r="F34" s="2" t="n">
        <v>5</v>
      </c>
      <c r="G34" s="2" t="inlineStr">
        <is>
          <t>2024-11-22</t>
        </is>
      </c>
    </row>
    <row r="35">
      <c r="A35" s="4" t="inlineStr">
        <is>
          <t>8AJ60KA8C0T2ZYT3D</t>
        </is>
      </c>
      <c r="B35" s="4" t="n">
        <v>2554</v>
      </c>
      <c r="C35" s="5" t="inlineStr">
        <is>
          <t>Toyotoshi</t>
        </is>
      </c>
      <c r="D35" s="5" t="inlineStr">
        <is>
          <t>Paraguay</t>
        </is>
      </c>
      <c r="E35" s="5" t="inlineStr">
        <is>
          <t>Corolla</t>
        </is>
      </c>
      <c r="F35" s="4" t="n">
        <v>4</v>
      </c>
      <c r="G35" s="4" t="inlineStr">
        <is>
          <t>2024-11-04</t>
        </is>
      </c>
    </row>
    <row r="36">
      <c r="A36" s="2" t="inlineStr">
        <is>
          <t>8AJNVM9VMRLH0L18Z</t>
        </is>
      </c>
      <c r="B36" s="2" t="n">
        <v>2332</v>
      </c>
      <c r="C36" s="3" t="inlineStr">
        <is>
          <t>Toyosa</t>
        </is>
      </c>
      <c r="D36" s="3" t="inlineStr">
        <is>
          <t>Bolivia</t>
        </is>
      </c>
      <c r="E36" s="3" t="inlineStr">
        <is>
          <t>Fortuner</t>
        </is>
      </c>
      <c r="F36" s="2" t="n">
        <v>8</v>
      </c>
      <c r="G36" s="2" t="inlineStr">
        <is>
          <t>2024-10-20</t>
        </is>
      </c>
    </row>
    <row r="37">
      <c r="A37" s="4" t="inlineStr">
        <is>
          <t>8AJ9UKDGHFAUK9V0E</t>
        </is>
      </c>
      <c r="B37" s="4" t="n">
        <v>4441</v>
      </c>
      <c r="C37" s="5" t="inlineStr">
        <is>
          <t>Toyosa</t>
        </is>
      </c>
      <c r="D37" s="5" t="inlineStr">
        <is>
          <t>Bolivia</t>
        </is>
      </c>
      <c r="E37" s="5" t="inlineStr">
        <is>
          <t>Hilux</t>
        </is>
      </c>
      <c r="F37" s="4" t="n">
        <v>1</v>
      </c>
      <c r="G37" s="4" t="inlineStr">
        <is>
          <t>2025-03-21</t>
        </is>
      </c>
    </row>
    <row r="38">
      <c r="A38" s="2" t="inlineStr">
        <is>
          <t>8AJSRGB8S4PCXBEVL</t>
        </is>
      </c>
      <c r="B38" s="2" t="n">
        <v>2665</v>
      </c>
      <c r="C38" s="3" t="inlineStr">
        <is>
          <t>Toyotoshi</t>
        </is>
      </c>
      <c r="D38" s="3" t="inlineStr">
        <is>
          <t>Paraguay</t>
        </is>
      </c>
      <c r="E38" s="3" t="inlineStr">
        <is>
          <t>Hilux</t>
        </is>
      </c>
      <c r="F38" s="2" t="n">
        <v>7</v>
      </c>
      <c r="G38" s="2" t="inlineStr">
        <is>
          <t>2024-09-24</t>
        </is>
      </c>
    </row>
    <row r="39">
      <c r="A39" s="4" t="inlineStr">
        <is>
          <t>8AJN6KWRVB8D2XJCH</t>
        </is>
      </c>
      <c r="B39" s="4" t="n">
        <v>4885</v>
      </c>
      <c r="C39" s="5" t="inlineStr">
        <is>
          <t>Toyosa</t>
        </is>
      </c>
      <c r="D39" s="5" t="inlineStr">
        <is>
          <t>Bolivia</t>
        </is>
      </c>
      <c r="E39" s="5" t="inlineStr">
        <is>
          <t>Hilux</t>
        </is>
      </c>
      <c r="F39" s="4" t="n">
        <v>3</v>
      </c>
      <c r="G39" s="4" t="inlineStr">
        <is>
          <t>2024-06-02</t>
        </is>
      </c>
    </row>
    <row r="40">
      <c r="A40" s="2" t="inlineStr">
        <is>
          <t>8AJRWKH00RZ72XY7R</t>
        </is>
      </c>
      <c r="B40" s="2" t="n">
        <v>4774</v>
      </c>
      <c r="C40" s="3" t="inlineStr">
        <is>
          <t>Ayax</t>
        </is>
      </c>
      <c r="D40" s="3" t="inlineStr">
        <is>
          <t>Uruguay</t>
        </is>
      </c>
      <c r="E40" s="3" t="inlineStr">
        <is>
          <t>Fortuner</t>
        </is>
      </c>
      <c r="F40" s="2" t="n">
        <v>3</v>
      </c>
      <c r="G40" s="2" t="inlineStr">
        <is>
          <t>2024-10-15</t>
        </is>
      </c>
    </row>
    <row r="41">
      <c r="A41" s="4" t="inlineStr">
        <is>
          <t>8AJCFL1VKEZ08TTCB</t>
        </is>
      </c>
      <c r="B41" s="4" t="n">
        <v>3997</v>
      </c>
      <c r="C41" s="5" t="inlineStr">
        <is>
          <t>TCL</t>
        </is>
      </c>
      <c r="D41" s="5" t="inlineStr">
        <is>
          <t>Chile</t>
        </is>
      </c>
      <c r="E41" s="5" t="inlineStr">
        <is>
          <t>Hiace</t>
        </is>
      </c>
      <c r="F41" s="4" t="n">
        <v>6</v>
      </c>
      <c r="G41" s="4" t="inlineStr">
        <is>
          <t>2024-10-07</t>
        </is>
      </c>
    </row>
    <row r="42">
      <c r="A42" s="2" t="inlineStr">
        <is>
          <t>8AJD84V89ZJB1SY7F</t>
        </is>
      </c>
      <c r="B42" s="2" t="n">
        <v>5107</v>
      </c>
      <c r="C42" s="3" t="inlineStr">
        <is>
          <t>TDB</t>
        </is>
      </c>
      <c r="D42" s="3" t="inlineStr">
        <is>
          <t>Brasil</t>
        </is>
      </c>
      <c r="E42" s="3" t="inlineStr">
        <is>
          <t>Corolla</t>
        </is>
      </c>
      <c r="F42" s="2" t="n">
        <v>8</v>
      </c>
      <c r="G42" s="2" t="inlineStr">
        <is>
          <t>2024-07-17</t>
        </is>
      </c>
    </row>
    <row r="43">
      <c r="A43" s="4" t="inlineStr">
        <is>
          <t>8AJMLZ5LZK83VSLL9</t>
        </is>
      </c>
      <c r="B43" s="4" t="n">
        <v>3775</v>
      </c>
      <c r="C43" s="5" t="inlineStr">
        <is>
          <t>Ayax</t>
        </is>
      </c>
      <c r="D43" s="5" t="inlineStr">
        <is>
          <t>Uruguay</t>
        </is>
      </c>
      <c r="E43" s="5" t="inlineStr">
        <is>
          <t>GR86</t>
        </is>
      </c>
      <c r="F43" s="4" t="n">
        <v>1</v>
      </c>
      <c r="G43" s="4" t="inlineStr">
        <is>
          <t>2025-03-05</t>
        </is>
      </c>
    </row>
    <row r="44">
      <c r="A44" s="2" t="inlineStr">
        <is>
          <t>8AJPGM1X2GV7R0E9X</t>
        </is>
      </c>
      <c r="B44" s="2" t="n">
        <v>2665</v>
      </c>
      <c r="C44" s="3" t="inlineStr">
        <is>
          <t>Ayax</t>
        </is>
      </c>
      <c r="D44" s="3" t="inlineStr">
        <is>
          <t>Uruguay</t>
        </is>
      </c>
      <c r="E44" s="3" t="inlineStr">
        <is>
          <t>Hiace</t>
        </is>
      </c>
      <c r="F44" s="2" t="n">
        <v>3</v>
      </c>
      <c r="G44" s="2" t="inlineStr">
        <is>
          <t>2024-11-07</t>
        </is>
      </c>
    </row>
    <row r="45">
      <c r="A45" s="4" t="inlineStr">
        <is>
          <t>8AJAPH4D8YF7K0PSS</t>
        </is>
      </c>
      <c r="B45" s="4" t="n">
        <v>4219</v>
      </c>
      <c r="C45" s="5" t="inlineStr">
        <is>
          <t>Toyosa</t>
        </is>
      </c>
      <c r="D45" s="5" t="inlineStr">
        <is>
          <t>Bolivia</t>
        </is>
      </c>
      <c r="E45" s="5" t="inlineStr">
        <is>
          <t>Yaris</t>
        </is>
      </c>
      <c r="F45" s="4" t="n">
        <v>3</v>
      </c>
      <c r="G45" s="4" t="inlineStr">
        <is>
          <t>2024-12-14</t>
        </is>
      </c>
    </row>
    <row r="46">
      <c r="A46" s="2" t="inlineStr">
        <is>
          <t>8AJ7T65K3P7T4KKW9</t>
        </is>
      </c>
      <c r="B46" s="2" t="n">
        <v>4441</v>
      </c>
      <c r="C46" s="3" t="inlineStr">
        <is>
          <t>TCL</t>
        </is>
      </c>
      <c r="D46" s="3" t="inlineStr">
        <is>
          <t>Chile</t>
        </is>
      </c>
      <c r="E46" s="3" t="inlineStr">
        <is>
          <t>GR86</t>
        </is>
      </c>
      <c r="F46" s="2" t="n">
        <v>3</v>
      </c>
      <c r="G46" s="2" t="inlineStr">
        <is>
          <t>2025-01-15</t>
        </is>
      </c>
    </row>
    <row r="47">
      <c r="A47" s="4" t="inlineStr">
        <is>
          <t>8AJSL2N759HN5PLS7</t>
        </is>
      </c>
      <c r="B47" s="4" t="n">
        <v>3664</v>
      </c>
      <c r="C47" s="5" t="inlineStr">
        <is>
          <t>Toyosa</t>
        </is>
      </c>
      <c r="D47" s="5" t="inlineStr">
        <is>
          <t>Bolivia</t>
        </is>
      </c>
      <c r="E47" s="5" t="inlineStr">
        <is>
          <t>Corolla</t>
        </is>
      </c>
      <c r="F47" s="4" t="n">
        <v>3</v>
      </c>
      <c r="G47" s="4" t="inlineStr">
        <is>
          <t>2025-02-09</t>
        </is>
      </c>
    </row>
    <row r="48">
      <c r="A48" s="2" t="inlineStr">
        <is>
          <t>8AJE8LD4D7AE59C2J</t>
        </is>
      </c>
      <c r="B48" s="2" t="n">
        <v>5329</v>
      </c>
      <c r="C48" s="3" t="inlineStr">
        <is>
          <t>TDB</t>
        </is>
      </c>
      <c r="D48" s="3" t="inlineStr">
        <is>
          <t>Brasil</t>
        </is>
      </c>
      <c r="E48" s="3" t="inlineStr">
        <is>
          <t>Hiace</t>
        </is>
      </c>
      <c r="F48" s="2" t="n">
        <v>7</v>
      </c>
      <c r="G48" s="2" t="inlineStr">
        <is>
          <t>2024-07-12</t>
        </is>
      </c>
    </row>
    <row r="49">
      <c r="A49" s="4" t="inlineStr">
        <is>
          <t>8AJ55NL025BCX791R</t>
        </is>
      </c>
      <c r="B49" s="4" t="n">
        <v>1666</v>
      </c>
      <c r="C49" s="5" t="inlineStr">
        <is>
          <t>Toyotoshi</t>
        </is>
      </c>
      <c r="D49" s="5" t="inlineStr">
        <is>
          <t>Paraguay</t>
        </is>
      </c>
      <c r="E49" s="5" t="inlineStr">
        <is>
          <t>GR86</t>
        </is>
      </c>
      <c r="F49" s="4" t="n">
        <v>2</v>
      </c>
      <c r="G49" s="4" t="inlineStr">
        <is>
          <t>2025-01-14</t>
        </is>
      </c>
    </row>
    <row r="50">
      <c r="A50" s="2" t="inlineStr">
        <is>
          <t>8AJZ6B3KNEUV3FC5X</t>
        </is>
      </c>
      <c r="B50" s="2" t="n">
        <v>2665</v>
      </c>
      <c r="C50" s="3" t="inlineStr">
        <is>
          <t>TCL</t>
        </is>
      </c>
      <c r="D50" s="3" t="inlineStr">
        <is>
          <t>Chile</t>
        </is>
      </c>
      <c r="E50" s="3" t="inlineStr">
        <is>
          <t>Corolla</t>
        </is>
      </c>
      <c r="F50" s="2" t="n">
        <v>3</v>
      </c>
      <c r="G50" s="2" t="inlineStr">
        <is>
          <t>2024-09-27</t>
        </is>
      </c>
    </row>
    <row r="51">
      <c r="A51" s="4" t="inlineStr">
        <is>
          <t>8AJYSZ6SKVC89K8ZS</t>
        </is>
      </c>
      <c r="B51" s="4" t="n">
        <v>3109</v>
      </c>
      <c r="C51" s="5" t="inlineStr">
        <is>
          <t>Ayax</t>
        </is>
      </c>
      <c r="D51" s="5" t="inlineStr">
        <is>
          <t>Uruguay</t>
        </is>
      </c>
      <c r="E51" s="5" t="inlineStr">
        <is>
          <t>Fortuner</t>
        </is>
      </c>
      <c r="F51" s="4" t="n">
        <v>7</v>
      </c>
      <c r="G51" s="4" t="inlineStr">
        <is>
          <t>2025-02-03</t>
        </is>
      </c>
    </row>
    <row r="52">
      <c r="A52" s="2" t="inlineStr">
        <is>
          <t>8AJHVV9K9YKVZ1BXT</t>
        </is>
      </c>
      <c r="B52" s="2" t="n">
        <v>2998</v>
      </c>
      <c r="C52" s="3" t="inlineStr">
        <is>
          <t>TDB</t>
        </is>
      </c>
      <c r="D52" s="3" t="inlineStr">
        <is>
          <t>Brasil</t>
        </is>
      </c>
      <c r="E52" s="3" t="inlineStr">
        <is>
          <t>GR86</t>
        </is>
      </c>
      <c r="F52" s="2" t="n">
        <v>4</v>
      </c>
      <c r="G52" s="2" t="inlineStr">
        <is>
          <t>2024-11-28</t>
        </is>
      </c>
    </row>
    <row r="53">
      <c r="A53" s="4" t="inlineStr">
        <is>
          <t>8AJYXZ0Y4X6YLRW1C</t>
        </is>
      </c>
      <c r="B53" s="4" t="n">
        <v>2998</v>
      </c>
      <c r="C53" s="5" t="inlineStr">
        <is>
          <t>TCL</t>
        </is>
      </c>
      <c r="D53" s="5" t="inlineStr">
        <is>
          <t>Chile</t>
        </is>
      </c>
      <c r="E53" s="5" t="inlineStr">
        <is>
          <t>Corolla Cross</t>
        </is>
      </c>
      <c r="F53" s="4" t="n">
        <v>7</v>
      </c>
      <c r="G53" s="4" t="inlineStr">
        <is>
          <t>2024-08-29</t>
        </is>
      </c>
    </row>
    <row r="54">
      <c r="A54" s="2" t="inlineStr">
        <is>
          <t>8AJEU9U74J4S31MD8</t>
        </is>
      </c>
      <c r="B54" s="2" t="n">
        <v>1999</v>
      </c>
      <c r="C54" s="3" t="inlineStr">
        <is>
          <t>TCL</t>
        </is>
      </c>
      <c r="D54" s="3" t="inlineStr">
        <is>
          <t>Chile</t>
        </is>
      </c>
      <c r="E54" s="3" t="inlineStr">
        <is>
          <t>GR86</t>
        </is>
      </c>
      <c r="F54" s="2" t="n">
        <v>4</v>
      </c>
      <c r="G54" s="2" t="inlineStr">
        <is>
          <t>2024-12-21</t>
        </is>
      </c>
    </row>
    <row r="55">
      <c r="A55" s="4" t="inlineStr">
        <is>
          <t>8AJN3AUSZZW48DHA6</t>
        </is>
      </c>
      <c r="B55" s="4" t="n">
        <v>4885</v>
      </c>
      <c r="C55" s="5" t="inlineStr">
        <is>
          <t>Toyosa</t>
        </is>
      </c>
      <c r="D55" s="5" t="inlineStr">
        <is>
          <t>Bolivia</t>
        </is>
      </c>
      <c r="E55" s="5" t="inlineStr">
        <is>
          <t>Corolla Cross</t>
        </is>
      </c>
      <c r="F55" s="4" t="n">
        <v>4</v>
      </c>
      <c r="G55" s="4" t="inlineStr">
        <is>
          <t>2024-07-03</t>
        </is>
      </c>
    </row>
    <row r="56">
      <c r="A56" s="2" t="inlineStr">
        <is>
          <t>8AJ7KPE8LTD6ERZ18</t>
        </is>
      </c>
      <c r="B56" s="2" t="n">
        <v>3886</v>
      </c>
      <c r="C56" s="3" t="inlineStr">
        <is>
          <t>Ayax</t>
        </is>
      </c>
      <c r="D56" s="3" t="inlineStr">
        <is>
          <t>Uruguay</t>
        </is>
      </c>
      <c r="E56" s="3" t="inlineStr">
        <is>
          <t>Yaris</t>
        </is>
      </c>
      <c r="F56" s="2" t="n">
        <v>3</v>
      </c>
      <c r="G56" s="2" t="inlineStr">
        <is>
          <t>2024-12-30</t>
        </is>
      </c>
    </row>
    <row r="57">
      <c r="A57" s="4" t="inlineStr">
        <is>
          <t>8AJ4X7KZHRHM9N6YB</t>
        </is>
      </c>
      <c r="B57" s="4" t="n">
        <v>2887</v>
      </c>
      <c r="C57" s="5" t="inlineStr">
        <is>
          <t>TDB</t>
        </is>
      </c>
      <c r="D57" s="5" t="inlineStr">
        <is>
          <t>Brasil</t>
        </is>
      </c>
      <c r="E57" s="5" t="inlineStr">
        <is>
          <t>Fortuner</t>
        </is>
      </c>
      <c r="F57" s="4" t="n">
        <v>2</v>
      </c>
      <c r="G57" s="4" t="inlineStr">
        <is>
          <t>2025-01-19</t>
        </is>
      </c>
    </row>
    <row r="58">
      <c r="A58" s="2" t="inlineStr">
        <is>
          <t>8AJYYWA2JEVC2GH5L</t>
        </is>
      </c>
      <c r="B58" s="2" t="n">
        <v>1999</v>
      </c>
      <c r="C58" s="3" t="inlineStr">
        <is>
          <t>TDB</t>
        </is>
      </c>
      <c r="D58" s="3" t="inlineStr">
        <is>
          <t>Brasil</t>
        </is>
      </c>
      <c r="E58" s="3" t="inlineStr">
        <is>
          <t>GR86</t>
        </is>
      </c>
      <c r="F58" s="2" t="n">
        <v>1</v>
      </c>
      <c r="G58" s="2" t="inlineStr">
        <is>
          <t>2024-10-20</t>
        </is>
      </c>
    </row>
    <row r="59">
      <c r="A59" s="4" t="inlineStr">
        <is>
          <t>8AJ9U3D5EM3WAJEPD</t>
        </is>
      </c>
      <c r="B59" s="4" t="n">
        <v>1444</v>
      </c>
      <c r="C59" s="5" t="inlineStr">
        <is>
          <t>TCL</t>
        </is>
      </c>
      <c r="D59" s="5" t="inlineStr">
        <is>
          <t>Chile</t>
        </is>
      </c>
      <c r="E59" s="5" t="inlineStr">
        <is>
          <t>Corolla</t>
        </is>
      </c>
      <c r="F59" s="4" t="n">
        <v>8</v>
      </c>
      <c r="G59" s="4" t="inlineStr">
        <is>
          <t>2024-12-03</t>
        </is>
      </c>
    </row>
    <row r="60">
      <c r="A60" s="2" t="inlineStr">
        <is>
          <t>8AJWRHX06YKYB94RD</t>
        </is>
      </c>
      <c r="B60" s="2" t="n">
        <v>4108</v>
      </c>
      <c r="C60" s="3" t="inlineStr">
        <is>
          <t>Toyosa</t>
        </is>
      </c>
      <c r="D60" s="3" t="inlineStr">
        <is>
          <t>Bolivia</t>
        </is>
      </c>
      <c r="E60" s="3" t="inlineStr">
        <is>
          <t>Hilux</t>
        </is>
      </c>
      <c r="F60" s="2" t="n">
        <v>2</v>
      </c>
      <c r="G60" s="2" t="inlineStr">
        <is>
          <t>2024-11-12</t>
        </is>
      </c>
    </row>
    <row r="61">
      <c r="A61" s="4" t="inlineStr">
        <is>
          <t>8AJEEXW0NWKTR3DY5</t>
        </is>
      </c>
      <c r="B61" s="4" t="n">
        <v>4885</v>
      </c>
      <c r="C61" s="5" t="inlineStr">
        <is>
          <t>Toyosa</t>
        </is>
      </c>
      <c r="D61" s="5" t="inlineStr">
        <is>
          <t>Bolivia</t>
        </is>
      </c>
      <c r="E61" s="5" t="inlineStr">
        <is>
          <t>Hiace</t>
        </is>
      </c>
      <c r="F61" s="4" t="n">
        <v>4</v>
      </c>
      <c r="G61" s="4" t="inlineStr">
        <is>
          <t>2025-01-07</t>
        </is>
      </c>
    </row>
    <row r="62">
      <c r="A62" s="2" t="inlineStr">
        <is>
          <t>8AJ6P4P1LLJ8ZSDCR</t>
        </is>
      </c>
      <c r="B62" s="2" t="n">
        <v>3553</v>
      </c>
      <c r="C62" s="3" t="inlineStr">
        <is>
          <t>Ayax</t>
        </is>
      </c>
      <c r="D62" s="3" t="inlineStr">
        <is>
          <t>Uruguay</t>
        </is>
      </c>
      <c r="E62" s="3" t="inlineStr">
        <is>
          <t>GR86</t>
        </is>
      </c>
      <c r="F62" s="2" t="n">
        <v>3</v>
      </c>
      <c r="G62" s="2" t="inlineStr">
        <is>
          <t>2025-03-12</t>
        </is>
      </c>
    </row>
    <row r="63">
      <c r="A63" s="4" t="inlineStr">
        <is>
          <t>8AJWVLEMY1508WMWH</t>
        </is>
      </c>
      <c r="B63" s="4" t="n">
        <v>4330</v>
      </c>
      <c r="C63" s="5" t="inlineStr">
        <is>
          <t>TDB</t>
        </is>
      </c>
      <c r="D63" s="5" t="inlineStr">
        <is>
          <t>Brasil</t>
        </is>
      </c>
      <c r="E63" s="5" t="inlineStr">
        <is>
          <t>Fortuner</t>
        </is>
      </c>
      <c r="F63" s="4" t="n">
        <v>2</v>
      </c>
      <c r="G63" s="4" t="inlineStr">
        <is>
          <t>2024-11-27</t>
        </is>
      </c>
    </row>
    <row r="64">
      <c r="A64" s="2" t="inlineStr">
        <is>
          <t>8AJN2V3494XYA74JF</t>
        </is>
      </c>
      <c r="B64" s="2" t="n">
        <v>3109</v>
      </c>
      <c r="C64" s="3" t="inlineStr">
        <is>
          <t>Toyosa</t>
        </is>
      </c>
      <c r="D64" s="3" t="inlineStr">
        <is>
          <t>Bolivia</t>
        </is>
      </c>
      <c r="E64" s="3" t="inlineStr">
        <is>
          <t>Corolla Cross</t>
        </is>
      </c>
      <c r="F64" s="2" t="n">
        <v>6</v>
      </c>
      <c r="G64" s="2" t="inlineStr">
        <is>
          <t>2024-06-04</t>
        </is>
      </c>
    </row>
    <row r="65">
      <c r="A65" s="4" t="inlineStr">
        <is>
          <t>8AJ5VPEXB1HPMN02V</t>
        </is>
      </c>
      <c r="B65" s="4" t="n">
        <v>1555</v>
      </c>
      <c r="C65" s="5" t="inlineStr">
        <is>
          <t>TCL</t>
        </is>
      </c>
      <c r="D65" s="5" t="inlineStr">
        <is>
          <t>Chile</t>
        </is>
      </c>
      <c r="E65" s="5" t="inlineStr">
        <is>
          <t>Hilux</t>
        </is>
      </c>
      <c r="F65" s="4" t="n">
        <v>3</v>
      </c>
      <c r="G65" s="4" t="inlineStr">
        <is>
          <t>2024-08-20</t>
        </is>
      </c>
    </row>
    <row r="66">
      <c r="A66" s="2" t="inlineStr">
        <is>
          <t>8AJBCRPXPHTMDZWUL</t>
        </is>
      </c>
      <c r="B66" s="2" t="n">
        <v>2554</v>
      </c>
      <c r="C66" s="3" t="inlineStr">
        <is>
          <t>Toyosa</t>
        </is>
      </c>
      <c r="D66" s="3" t="inlineStr">
        <is>
          <t>Bolivia</t>
        </is>
      </c>
      <c r="E66" s="3" t="inlineStr">
        <is>
          <t>Corolla</t>
        </is>
      </c>
      <c r="F66" s="2" t="n">
        <v>1</v>
      </c>
      <c r="G66" s="2" t="inlineStr">
        <is>
          <t>2024-06-04</t>
        </is>
      </c>
    </row>
    <row r="67">
      <c r="A67" s="4" t="inlineStr">
        <is>
          <t>8AJKGEJLA1FN0T43C</t>
        </is>
      </c>
      <c r="B67" s="4" t="n">
        <v>1222</v>
      </c>
      <c r="C67" s="5" t="inlineStr">
        <is>
          <t>TCL</t>
        </is>
      </c>
      <c r="D67" s="5" t="inlineStr">
        <is>
          <t>Chile</t>
        </is>
      </c>
      <c r="E67" s="5" t="inlineStr">
        <is>
          <t>Corolla</t>
        </is>
      </c>
      <c r="F67" s="4" t="n">
        <v>1</v>
      </c>
      <c r="G67" s="4" t="inlineStr">
        <is>
          <t>2025-01-22</t>
        </is>
      </c>
    </row>
    <row r="68">
      <c r="A68" s="2" t="inlineStr">
        <is>
          <t>8AJ5WV0PDAL3X47C4</t>
        </is>
      </c>
      <c r="B68" s="2" t="n">
        <v>2665</v>
      </c>
      <c r="C68" s="3" t="inlineStr">
        <is>
          <t>TDB</t>
        </is>
      </c>
      <c r="D68" s="3" t="inlineStr">
        <is>
          <t>Brasil</t>
        </is>
      </c>
      <c r="E68" s="3" t="inlineStr">
        <is>
          <t>Corolla</t>
        </is>
      </c>
      <c r="F68" s="2" t="n">
        <v>7</v>
      </c>
      <c r="G68" s="2" t="inlineStr">
        <is>
          <t>2025-02-24</t>
        </is>
      </c>
    </row>
    <row r="69">
      <c r="A69" s="4" t="inlineStr">
        <is>
          <t>8AJPLMLFTDT6M143H</t>
        </is>
      </c>
      <c r="B69" s="4" t="n">
        <v>1999</v>
      </c>
      <c r="C69" s="5" t="inlineStr">
        <is>
          <t>TDB</t>
        </is>
      </c>
      <c r="D69" s="5" t="inlineStr">
        <is>
          <t>Brasil</t>
        </is>
      </c>
      <c r="E69" s="5" t="inlineStr">
        <is>
          <t>Corolla Cross</t>
        </is>
      </c>
      <c r="F69" s="4" t="n">
        <v>4</v>
      </c>
      <c r="G69" s="4" t="inlineStr">
        <is>
          <t>2024-08-28</t>
        </is>
      </c>
    </row>
    <row r="70">
      <c r="A70" s="2" t="inlineStr">
        <is>
          <t>8AJF2C8XSVWZ6Y9L9</t>
        </is>
      </c>
      <c r="B70" s="2" t="n">
        <v>3220</v>
      </c>
      <c r="C70" s="3" t="inlineStr">
        <is>
          <t>Toyosa</t>
        </is>
      </c>
      <c r="D70" s="3" t="inlineStr">
        <is>
          <t>Bolivia</t>
        </is>
      </c>
      <c r="E70" s="3" t="inlineStr">
        <is>
          <t>Fortuner</t>
        </is>
      </c>
      <c r="F70" s="2" t="n">
        <v>8</v>
      </c>
      <c r="G70" s="2" t="inlineStr">
        <is>
          <t>2024-07-05</t>
        </is>
      </c>
    </row>
    <row r="71">
      <c r="A71" s="4" t="inlineStr">
        <is>
          <t>8AJRKKBTLRB4C55XT</t>
        </is>
      </c>
      <c r="B71" s="4" t="n">
        <v>4219</v>
      </c>
      <c r="C71" s="5" t="inlineStr">
        <is>
          <t>Ayax</t>
        </is>
      </c>
      <c r="D71" s="5" t="inlineStr">
        <is>
          <t>Uruguay</t>
        </is>
      </c>
      <c r="E71" s="5" t="inlineStr">
        <is>
          <t>Yaris</t>
        </is>
      </c>
      <c r="F71" s="4" t="n">
        <v>1</v>
      </c>
      <c r="G71" s="4" t="inlineStr">
        <is>
          <t>2025-01-17</t>
        </is>
      </c>
    </row>
    <row r="72">
      <c r="A72" s="2" t="inlineStr">
        <is>
          <t>8AJYLSECD6M0TFJRR</t>
        </is>
      </c>
      <c r="B72" s="2" t="n">
        <v>4663</v>
      </c>
      <c r="C72" s="3" t="inlineStr">
        <is>
          <t>Toyosa</t>
        </is>
      </c>
      <c r="D72" s="3" t="inlineStr">
        <is>
          <t>Bolivia</t>
        </is>
      </c>
      <c r="E72" s="3" t="inlineStr">
        <is>
          <t>Yaris</t>
        </is>
      </c>
      <c r="F72" s="2" t="n">
        <v>3</v>
      </c>
      <c r="G72" s="2" t="inlineStr">
        <is>
          <t>2024-12-04</t>
        </is>
      </c>
    </row>
    <row r="73">
      <c r="A73" s="4" t="inlineStr">
        <is>
          <t>8AJ7N2ZBXMLVNJ58W</t>
        </is>
      </c>
      <c r="B73" s="4" t="n">
        <v>1999</v>
      </c>
      <c r="C73" s="5" t="inlineStr">
        <is>
          <t>Toyotoshi</t>
        </is>
      </c>
      <c r="D73" s="5" t="inlineStr">
        <is>
          <t>Paraguay</t>
        </is>
      </c>
      <c r="E73" s="5" t="inlineStr">
        <is>
          <t>Corolla Cross</t>
        </is>
      </c>
      <c r="F73" s="4" t="n">
        <v>2</v>
      </c>
      <c r="G73" s="4" t="inlineStr">
        <is>
          <t>2025-03-26</t>
        </is>
      </c>
    </row>
    <row r="74">
      <c r="A74" s="2" t="inlineStr">
        <is>
          <t>8AJ7LYYE0CVYLE089</t>
        </is>
      </c>
      <c r="B74" s="2" t="n">
        <v>4663</v>
      </c>
      <c r="C74" s="3" t="inlineStr">
        <is>
          <t>TCL</t>
        </is>
      </c>
      <c r="D74" s="3" t="inlineStr">
        <is>
          <t>Chile</t>
        </is>
      </c>
      <c r="E74" s="3" t="inlineStr">
        <is>
          <t>Hilux</t>
        </is>
      </c>
      <c r="F74" s="2" t="n">
        <v>7</v>
      </c>
      <c r="G74" s="2" t="inlineStr">
        <is>
          <t>2025-02-16</t>
        </is>
      </c>
    </row>
    <row r="75">
      <c r="A75" s="4" t="inlineStr">
        <is>
          <t>8AJAL8M2G9FK3TU1U</t>
        </is>
      </c>
      <c r="B75" s="4" t="n">
        <v>3331</v>
      </c>
      <c r="C75" s="5" t="inlineStr">
        <is>
          <t>Toyotoshi</t>
        </is>
      </c>
      <c r="D75" s="5" t="inlineStr">
        <is>
          <t>Paraguay</t>
        </is>
      </c>
      <c r="E75" s="5" t="inlineStr">
        <is>
          <t>GR86</t>
        </is>
      </c>
      <c r="F75" s="4" t="n">
        <v>3</v>
      </c>
      <c r="G75" s="4" t="inlineStr">
        <is>
          <t>2024-12-10</t>
        </is>
      </c>
    </row>
    <row r="76">
      <c r="A76" s="2" t="inlineStr">
        <is>
          <t>8AJF423FRPZHRK1RU</t>
        </is>
      </c>
      <c r="B76" s="2" t="n">
        <v>3109</v>
      </c>
      <c r="C76" s="3" t="inlineStr">
        <is>
          <t>TCL</t>
        </is>
      </c>
      <c r="D76" s="3" t="inlineStr">
        <is>
          <t>Chile</t>
        </is>
      </c>
      <c r="E76" s="3" t="inlineStr">
        <is>
          <t>GR86</t>
        </is>
      </c>
      <c r="F76" s="2" t="n">
        <v>8</v>
      </c>
      <c r="G76" s="2" t="inlineStr">
        <is>
          <t>2024-09-08</t>
        </is>
      </c>
    </row>
    <row r="77">
      <c r="A77" s="4" t="inlineStr">
        <is>
          <t>8AJZVR22TPFGW5BSN</t>
        </is>
      </c>
      <c r="B77" s="4" t="n">
        <v>1666</v>
      </c>
      <c r="C77" s="5" t="inlineStr">
        <is>
          <t>Toyotoshi</t>
        </is>
      </c>
      <c r="D77" s="5" t="inlineStr">
        <is>
          <t>Paraguay</t>
        </is>
      </c>
      <c r="E77" s="5" t="inlineStr">
        <is>
          <t>Hiace</t>
        </is>
      </c>
      <c r="F77" s="4" t="n">
        <v>2</v>
      </c>
      <c r="G77" s="4" t="inlineStr">
        <is>
          <t>2024-10-24</t>
        </is>
      </c>
    </row>
    <row r="78">
      <c r="A78" s="2" t="inlineStr">
        <is>
          <t>8AJ2K6ER8HRMABTH9</t>
        </is>
      </c>
      <c r="B78" s="2" t="n">
        <v>3553</v>
      </c>
      <c r="C78" s="3" t="inlineStr">
        <is>
          <t>TDB</t>
        </is>
      </c>
      <c r="D78" s="3" t="inlineStr">
        <is>
          <t>Brasil</t>
        </is>
      </c>
      <c r="E78" s="3" t="inlineStr">
        <is>
          <t>Fortuner</t>
        </is>
      </c>
      <c r="F78" s="2" t="n">
        <v>1</v>
      </c>
      <c r="G78" s="2" t="inlineStr">
        <is>
          <t>2024-11-11</t>
        </is>
      </c>
    </row>
    <row r="79">
      <c r="A79" s="4" t="inlineStr">
        <is>
          <t>8AJ4Y3EK4ZE0RACJ4</t>
        </is>
      </c>
      <c r="B79" s="4" t="n">
        <v>4885</v>
      </c>
      <c r="C79" s="5" t="inlineStr">
        <is>
          <t>TDB</t>
        </is>
      </c>
      <c r="D79" s="5" t="inlineStr">
        <is>
          <t>Brasil</t>
        </is>
      </c>
      <c r="E79" s="5" t="inlineStr">
        <is>
          <t>Hiace</t>
        </is>
      </c>
      <c r="F79" s="4" t="n">
        <v>7</v>
      </c>
      <c r="G79" s="4" t="inlineStr">
        <is>
          <t>2024-07-27</t>
        </is>
      </c>
    </row>
    <row r="80">
      <c r="A80" s="2" t="inlineStr">
        <is>
          <t>8AJHEHYXC4TUXV0KA</t>
        </is>
      </c>
      <c r="B80" s="2" t="n">
        <v>3442</v>
      </c>
      <c r="C80" s="3" t="inlineStr">
        <is>
          <t>Toyotoshi</t>
        </is>
      </c>
      <c r="D80" s="3" t="inlineStr">
        <is>
          <t>Paraguay</t>
        </is>
      </c>
      <c r="E80" s="3" t="inlineStr">
        <is>
          <t>Fortuner</t>
        </is>
      </c>
      <c r="F80" s="2" t="n">
        <v>7</v>
      </c>
      <c r="G80" s="2" t="inlineStr">
        <is>
          <t>2024-09-04</t>
        </is>
      </c>
    </row>
    <row r="81">
      <c r="A81" s="4" t="inlineStr">
        <is>
          <t>8AJUM8U2TA5BNN1MC</t>
        </is>
      </c>
      <c r="B81" s="4" t="n">
        <v>2665</v>
      </c>
      <c r="C81" s="5" t="inlineStr">
        <is>
          <t>TDB</t>
        </is>
      </c>
      <c r="D81" s="5" t="inlineStr">
        <is>
          <t>Brasil</t>
        </is>
      </c>
      <c r="E81" s="5" t="inlineStr">
        <is>
          <t>Hiace</t>
        </is>
      </c>
      <c r="F81" s="4" t="n">
        <v>2</v>
      </c>
      <c r="G81" s="4" t="inlineStr">
        <is>
          <t>2025-03-25</t>
        </is>
      </c>
    </row>
    <row r="82">
      <c r="A82" s="2" t="inlineStr">
        <is>
          <t>8AJEMMY4Z9SGE08BG</t>
        </is>
      </c>
      <c r="B82" s="2" t="n">
        <v>2332</v>
      </c>
      <c r="C82" s="3" t="inlineStr">
        <is>
          <t>Toyotoshi</t>
        </is>
      </c>
      <c r="D82" s="3" t="inlineStr">
        <is>
          <t>Paraguay</t>
        </is>
      </c>
      <c r="E82" s="3" t="inlineStr">
        <is>
          <t>Hilux</t>
        </is>
      </c>
      <c r="F82" s="2" t="n">
        <v>6</v>
      </c>
      <c r="G82" s="2" t="inlineStr">
        <is>
          <t>2024-11-06</t>
        </is>
      </c>
    </row>
    <row r="83">
      <c r="A83" s="4" t="inlineStr">
        <is>
          <t>8AJP3SBYK5BYK3RPR</t>
        </is>
      </c>
      <c r="B83" s="4" t="n">
        <v>3664</v>
      </c>
      <c r="C83" s="5" t="inlineStr">
        <is>
          <t>Toyosa</t>
        </is>
      </c>
      <c r="D83" s="5" t="inlineStr">
        <is>
          <t>Bolivia</t>
        </is>
      </c>
      <c r="E83" s="5" t="inlineStr">
        <is>
          <t>Corolla Cross</t>
        </is>
      </c>
      <c r="F83" s="4" t="n">
        <v>3</v>
      </c>
      <c r="G83" s="4" t="inlineStr">
        <is>
          <t>2025-02-10</t>
        </is>
      </c>
    </row>
    <row r="84">
      <c r="A84" s="2" t="inlineStr">
        <is>
          <t>8AJN3JCRR9FKDLKR0</t>
        </is>
      </c>
      <c r="B84" s="2" t="n">
        <v>2110</v>
      </c>
      <c r="C84" s="3" t="inlineStr">
        <is>
          <t>Ayax</t>
        </is>
      </c>
      <c r="D84" s="3" t="inlineStr">
        <is>
          <t>Uruguay</t>
        </is>
      </c>
      <c r="E84" s="3" t="inlineStr">
        <is>
          <t>Hiace</t>
        </is>
      </c>
      <c r="F84" s="2" t="n">
        <v>8</v>
      </c>
      <c r="G84" s="2" t="inlineStr">
        <is>
          <t>2024-11-27</t>
        </is>
      </c>
    </row>
    <row r="85">
      <c r="A85" s="4" t="inlineStr">
        <is>
          <t>8AJB5M9K98CYM3Z8E</t>
        </is>
      </c>
      <c r="B85" s="4" t="n">
        <v>5218</v>
      </c>
      <c r="C85" s="5" t="inlineStr">
        <is>
          <t>Ayax</t>
        </is>
      </c>
      <c r="D85" s="5" t="inlineStr">
        <is>
          <t>Uruguay</t>
        </is>
      </c>
      <c r="E85" s="5" t="inlineStr">
        <is>
          <t>Hiace</t>
        </is>
      </c>
      <c r="F85" s="4" t="n">
        <v>8</v>
      </c>
      <c r="G85" s="4" t="inlineStr">
        <is>
          <t>2024-06-18</t>
        </is>
      </c>
    </row>
    <row r="86">
      <c r="A86" s="2" t="inlineStr">
        <is>
          <t>8AJC2NNVWZ8N2VUPY</t>
        </is>
      </c>
      <c r="B86" s="2" t="n">
        <v>2665</v>
      </c>
      <c r="C86" s="3" t="inlineStr">
        <is>
          <t>TCL</t>
        </is>
      </c>
      <c r="D86" s="3" t="inlineStr">
        <is>
          <t>Chile</t>
        </is>
      </c>
      <c r="E86" s="3" t="inlineStr">
        <is>
          <t>Hilux</t>
        </is>
      </c>
      <c r="F86" s="2" t="n">
        <v>1</v>
      </c>
      <c r="G86" s="2" t="inlineStr">
        <is>
          <t>2024-09-04</t>
        </is>
      </c>
    </row>
    <row r="87">
      <c r="A87" s="4" t="inlineStr">
        <is>
          <t>8AJU7D20HXZ9GECF0</t>
        </is>
      </c>
      <c r="B87" s="4" t="n">
        <v>1555</v>
      </c>
      <c r="C87" s="5" t="inlineStr">
        <is>
          <t>Ayax</t>
        </is>
      </c>
      <c r="D87" s="5" t="inlineStr">
        <is>
          <t>Uruguay</t>
        </is>
      </c>
      <c r="E87" s="5" t="inlineStr">
        <is>
          <t>GR86</t>
        </is>
      </c>
      <c r="F87" s="4" t="n">
        <v>6</v>
      </c>
      <c r="G87" s="4" t="inlineStr">
        <is>
          <t>2024-11-25</t>
        </is>
      </c>
    </row>
    <row r="88">
      <c r="A88" s="2" t="inlineStr">
        <is>
          <t>8AJVKKF00FMH93HTM</t>
        </is>
      </c>
      <c r="B88" s="2" t="n">
        <v>4996</v>
      </c>
      <c r="C88" s="3" t="inlineStr">
        <is>
          <t>TDB</t>
        </is>
      </c>
      <c r="D88" s="3" t="inlineStr">
        <is>
          <t>Brasil</t>
        </is>
      </c>
      <c r="E88" s="3" t="inlineStr">
        <is>
          <t>Corolla Cross</t>
        </is>
      </c>
      <c r="F88" s="2" t="n">
        <v>8</v>
      </c>
      <c r="G88" s="2" t="inlineStr">
        <is>
          <t>2025-03-10</t>
        </is>
      </c>
    </row>
    <row r="89">
      <c r="A89" s="4" t="inlineStr">
        <is>
          <t>8AJXCL90U24C9YRZM</t>
        </is>
      </c>
      <c r="B89" s="4" t="n">
        <v>4885</v>
      </c>
      <c r="C89" s="5" t="inlineStr">
        <is>
          <t>TCL</t>
        </is>
      </c>
      <c r="D89" s="5" t="inlineStr">
        <is>
          <t>Chile</t>
        </is>
      </c>
      <c r="E89" s="5" t="inlineStr">
        <is>
          <t>Hiace</t>
        </is>
      </c>
      <c r="F89" s="4" t="n">
        <v>3</v>
      </c>
      <c r="G89" s="4" t="inlineStr">
        <is>
          <t>2024-08-06</t>
        </is>
      </c>
    </row>
    <row r="90">
      <c r="A90" s="2" t="inlineStr">
        <is>
          <t>8AJT54ULF7H8UKCG8</t>
        </is>
      </c>
      <c r="B90" s="2" t="n">
        <v>2887</v>
      </c>
      <c r="C90" s="3" t="inlineStr">
        <is>
          <t>Ayax</t>
        </is>
      </c>
      <c r="D90" s="3" t="inlineStr">
        <is>
          <t>Uruguay</t>
        </is>
      </c>
      <c r="E90" s="3" t="inlineStr">
        <is>
          <t>Fortuner</t>
        </is>
      </c>
      <c r="F90" s="2" t="n">
        <v>5</v>
      </c>
      <c r="G90" s="2" t="inlineStr">
        <is>
          <t>2025-03-01</t>
        </is>
      </c>
    </row>
    <row r="91">
      <c r="A91" s="4" t="inlineStr">
        <is>
          <t>8AJTF8FY0W4V4ABYW</t>
        </is>
      </c>
      <c r="B91" s="4" t="n">
        <v>2443</v>
      </c>
      <c r="C91" s="5" t="inlineStr">
        <is>
          <t>TDB</t>
        </is>
      </c>
      <c r="D91" s="5" t="inlineStr">
        <is>
          <t>Brasil</t>
        </is>
      </c>
      <c r="E91" s="5" t="inlineStr">
        <is>
          <t>GR86</t>
        </is>
      </c>
      <c r="F91" s="4" t="n">
        <v>7</v>
      </c>
      <c r="G91" s="4" t="inlineStr">
        <is>
          <t>2024-06-16</t>
        </is>
      </c>
    </row>
    <row r="92">
      <c r="A92" s="2" t="inlineStr">
        <is>
          <t>8AJ6VYKJ3PRZFPSME</t>
        </is>
      </c>
      <c r="B92" s="2" t="n">
        <v>3220</v>
      </c>
      <c r="C92" s="3" t="inlineStr">
        <is>
          <t>Ayax</t>
        </is>
      </c>
      <c r="D92" s="3" t="inlineStr">
        <is>
          <t>Uruguay</t>
        </is>
      </c>
      <c r="E92" s="3" t="inlineStr">
        <is>
          <t>Hiace</t>
        </is>
      </c>
      <c r="F92" s="2" t="n">
        <v>6</v>
      </c>
      <c r="G92" s="2" t="inlineStr">
        <is>
          <t>2024-12-22</t>
        </is>
      </c>
    </row>
    <row r="93">
      <c r="A93" s="4" t="inlineStr">
        <is>
          <t>8AJ2TDHEREB85P863</t>
        </is>
      </c>
      <c r="B93" s="4" t="n">
        <v>4996</v>
      </c>
      <c r="C93" s="5" t="inlineStr">
        <is>
          <t>TCL</t>
        </is>
      </c>
      <c r="D93" s="5" t="inlineStr">
        <is>
          <t>Chile</t>
        </is>
      </c>
      <c r="E93" s="5" t="inlineStr">
        <is>
          <t>Hiace</t>
        </is>
      </c>
      <c r="F93" s="4" t="n">
        <v>6</v>
      </c>
      <c r="G93" s="4" t="inlineStr">
        <is>
          <t>2024-09-06</t>
        </is>
      </c>
    </row>
    <row r="94">
      <c r="A94" s="2" t="inlineStr">
        <is>
          <t>8AJTTTLA8T8HMBT6Y</t>
        </is>
      </c>
      <c r="B94" s="2" t="n">
        <v>4330</v>
      </c>
      <c r="C94" s="3" t="inlineStr">
        <is>
          <t>TCL</t>
        </is>
      </c>
      <c r="D94" s="3" t="inlineStr">
        <is>
          <t>Chile</t>
        </is>
      </c>
      <c r="E94" s="3" t="inlineStr">
        <is>
          <t>Corolla Cross</t>
        </is>
      </c>
      <c r="F94" s="2" t="n">
        <v>1</v>
      </c>
      <c r="G94" s="2" t="inlineStr">
        <is>
          <t>2024-07-26</t>
        </is>
      </c>
    </row>
    <row r="95">
      <c r="A95" s="4" t="inlineStr">
        <is>
          <t>8AJEJNPBBVMKNRV4X</t>
        </is>
      </c>
      <c r="B95" s="4" t="n">
        <v>5329</v>
      </c>
      <c r="C95" s="5" t="inlineStr">
        <is>
          <t>Ayax</t>
        </is>
      </c>
      <c r="D95" s="5" t="inlineStr">
        <is>
          <t>Uruguay</t>
        </is>
      </c>
      <c r="E95" s="5" t="inlineStr">
        <is>
          <t>Hilux</t>
        </is>
      </c>
      <c r="F95" s="4" t="n">
        <v>3</v>
      </c>
      <c r="G95" s="4" t="inlineStr">
        <is>
          <t>2024-07-20</t>
        </is>
      </c>
    </row>
    <row r="96">
      <c r="A96" s="2" t="inlineStr">
        <is>
          <t>8AJN9VNEWPBB03UE6</t>
        </is>
      </c>
      <c r="B96" s="2" t="n">
        <v>1888</v>
      </c>
      <c r="C96" s="3" t="inlineStr">
        <is>
          <t>Ayax</t>
        </is>
      </c>
      <c r="D96" s="3" t="inlineStr">
        <is>
          <t>Uruguay</t>
        </is>
      </c>
      <c r="E96" s="3" t="inlineStr">
        <is>
          <t>Corolla Cross</t>
        </is>
      </c>
      <c r="F96" s="2" t="n">
        <v>6</v>
      </c>
      <c r="G96" s="2" t="inlineStr">
        <is>
          <t>2024-08-23</t>
        </is>
      </c>
    </row>
    <row r="97">
      <c r="A97" s="4" t="inlineStr">
        <is>
          <t>8AJ91KM4U0K3NZ9W3</t>
        </is>
      </c>
      <c r="B97" s="4" t="n">
        <v>1111</v>
      </c>
      <c r="C97" s="5" t="inlineStr">
        <is>
          <t>Ayax</t>
        </is>
      </c>
      <c r="D97" s="5" t="inlineStr">
        <is>
          <t>Uruguay</t>
        </is>
      </c>
      <c r="E97" s="5" t="inlineStr">
        <is>
          <t>Yaris</t>
        </is>
      </c>
      <c r="F97" s="4" t="n">
        <v>8</v>
      </c>
      <c r="G97" s="4" t="inlineStr">
        <is>
          <t>2024-10-14</t>
        </is>
      </c>
    </row>
    <row r="98">
      <c r="A98" s="2" t="inlineStr">
        <is>
          <t>8AJW0WFXX4EZB8DAL</t>
        </is>
      </c>
      <c r="B98" s="2" t="n">
        <v>1999</v>
      </c>
      <c r="C98" s="3" t="inlineStr">
        <is>
          <t>Toyosa</t>
        </is>
      </c>
      <c r="D98" s="3" t="inlineStr">
        <is>
          <t>Bolivia</t>
        </is>
      </c>
      <c r="E98" s="3" t="inlineStr">
        <is>
          <t>Corolla</t>
        </is>
      </c>
      <c r="F98" s="2" t="n">
        <v>4</v>
      </c>
      <c r="G98" s="2" t="inlineStr">
        <is>
          <t>2024-12-28</t>
        </is>
      </c>
    </row>
    <row r="99">
      <c r="A99" s="4" t="inlineStr">
        <is>
          <t>8AJ2751CEGLYULF7M</t>
        </is>
      </c>
      <c r="B99" s="4" t="n">
        <v>3442</v>
      </c>
      <c r="C99" s="5" t="inlineStr">
        <is>
          <t>Toyosa</t>
        </is>
      </c>
      <c r="D99" s="5" t="inlineStr">
        <is>
          <t>Bolivia</t>
        </is>
      </c>
      <c r="E99" s="5" t="inlineStr">
        <is>
          <t>Hiace</t>
        </is>
      </c>
      <c r="F99" s="4" t="n">
        <v>5</v>
      </c>
      <c r="G99" s="4" t="inlineStr">
        <is>
          <t>2025-02-03</t>
        </is>
      </c>
    </row>
    <row r="100">
      <c r="A100" s="2" t="inlineStr">
        <is>
          <t>8AJ8KK8920ZTSV70K</t>
        </is>
      </c>
      <c r="B100" s="2" t="n">
        <v>4996</v>
      </c>
      <c r="C100" s="3" t="inlineStr">
        <is>
          <t>TCL</t>
        </is>
      </c>
      <c r="D100" s="3" t="inlineStr">
        <is>
          <t>Chile</t>
        </is>
      </c>
      <c r="E100" s="3" t="inlineStr">
        <is>
          <t>Hiace</t>
        </is>
      </c>
      <c r="F100" s="2" t="n">
        <v>7</v>
      </c>
      <c r="G100" s="2" t="inlineStr">
        <is>
          <t>2024-12-20</t>
        </is>
      </c>
    </row>
    <row r="101">
      <c r="A101" s="4" t="inlineStr">
        <is>
          <t>8AJ83KK0MRJSGU7ZE</t>
        </is>
      </c>
      <c r="B101" s="4" t="n">
        <v>5329</v>
      </c>
      <c r="C101" s="5" t="inlineStr">
        <is>
          <t>Toyotoshi</t>
        </is>
      </c>
      <c r="D101" s="5" t="inlineStr">
        <is>
          <t>Paraguay</t>
        </is>
      </c>
      <c r="E101" s="5" t="inlineStr">
        <is>
          <t>Hiace</t>
        </is>
      </c>
      <c r="F101" s="4" t="n">
        <v>4</v>
      </c>
      <c r="G101" s="4" t="inlineStr">
        <is>
          <t>2024-10-03</t>
        </is>
      </c>
    </row>
    <row r="102">
      <c r="A102" s="2" t="inlineStr">
        <is>
          <t>8AJZUYBP0D2AV7P75</t>
        </is>
      </c>
      <c r="B102" s="2" t="n">
        <v>4330</v>
      </c>
      <c r="C102" s="3" t="inlineStr">
        <is>
          <t>TDB</t>
        </is>
      </c>
      <c r="D102" s="3" t="inlineStr">
        <is>
          <t>Brasil</t>
        </is>
      </c>
      <c r="E102" s="3" t="inlineStr">
        <is>
          <t>Hiace</t>
        </is>
      </c>
      <c r="F102" s="2" t="n">
        <v>4</v>
      </c>
      <c r="G102" s="2" t="inlineStr">
        <is>
          <t>2024-10-26</t>
        </is>
      </c>
    </row>
    <row r="103">
      <c r="A103" s="4" t="inlineStr">
        <is>
          <t>8AJKB2YH15B7P47B4</t>
        </is>
      </c>
      <c r="B103" s="4" t="n">
        <v>4441</v>
      </c>
      <c r="C103" s="5" t="inlineStr">
        <is>
          <t>Toyotoshi</t>
        </is>
      </c>
      <c r="D103" s="5" t="inlineStr">
        <is>
          <t>Paraguay</t>
        </is>
      </c>
      <c r="E103" s="5" t="inlineStr">
        <is>
          <t>Fortuner</t>
        </is>
      </c>
      <c r="F103" s="4" t="n">
        <v>5</v>
      </c>
      <c r="G103" s="4" t="inlineStr">
        <is>
          <t>2024-06-20</t>
        </is>
      </c>
    </row>
    <row r="104">
      <c r="A104" s="2" t="inlineStr">
        <is>
          <t>8AJKW7MRYU6ETK3L1</t>
        </is>
      </c>
      <c r="B104" s="2" t="n">
        <v>2776</v>
      </c>
      <c r="C104" s="3" t="inlineStr">
        <is>
          <t>TDB</t>
        </is>
      </c>
      <c r="D104" s="3" t="inlineStr">
        <is>
          <t>Brasil</t>
        </is>
      </c>
      <c r="E104" s="3" t="inlineStr">
        <is>
          <t>Hiace</t>
        </is>
      </c>
      <c r="F104" s="2" t="n">
        <v>3</v>
      </c>
      <c r="G104" s="2" t="inlineStr">
        <is>
          <t>2024-06-08</t>
        </is>
      </c>
    </row>
    <row r="105">
      <c r="A105" s="4" t="inlineStr">
        <is>
          <t>8AJ3V1F564UCZGELJ</t>
        </is>
      </c>
      <c r="B105" s="4" t="n">
        <v>2776</v>
      </c>
      <c r="C105" s="5" t="inlineStr">
        <is>
          <t>Toyotoshi</t>
        </is>
      </c>
      <c r="D105" s="5" t="inlineStr">
        <is>
          <t>Paraguay</t>
        </is>
      </c>
      <c r="E105" s="5" t="inlineStr">
        <is>
          <t>Corolla</t>
        </is>
      </c>
      <c r="F105" s="4" t="n">
        <v>4</v>
      </c>
      <c r="G105" s="4" t="inlineStr">
        <is>
          <t>2025-01-15</t>
        </is>
      </c>
    </row>
    <row r="106">
      <c r="A106" s="2" t="inlineStr">
        <is>
          <t>8AJ8K0AYZCDLPT60L</t>
        </is>
      </c>
      <c r="B106" s="2" t="n">
        <v>1777</v>
      </c>
      <c r="C106" s="3" t="inlineStr">
        <is>
          <t>Toyotoshi</t>
        </is>
      </c>
      <c r="D106" s="3" t="inlineStr">
        <is>
          <t>Paraguay</t>
        </is>
      </c>
      <c r="E106" s="3" t="inlineStr">
        <is>
          <t>Hiace</t>
        </is>
      </c>
      <c r="F106" s="2" t="n">
        <v>5</v>
      </c>
      <c r="G106" s="2" t="inlineStr">
        <is>
          <t>2024-12-06</t>
        </is>
      </c>
    </row>
    <row r="107">
      <c r="A107" s="4" t="inlineStr">
        <is>
          <t>8AJH8SS9N071342ZW</t>
        </is>
      </c>
      <c r="B107" s="4" t="n">
        <v>1555</v>
      </c>
      <c r="C107" s="5" t="inlineStr">
        <is>
          <t>Toyosa</t>
        </is>
      </c>
      <c r="D107" s="5" t="inlineStr">
        <is>
          <t>Bolivia</t>
        </is>
      </c>
      <c r="E107" s="5" t="inlineStr">
        <is>
          <t>Yaris</t>
        </is>
      </c>
      <c r="F107" s="4" t="n">
        <v>8</v>
      </c>
      <c r="G107" s="4" t="inlineStr">
        <is>
          <t>2025-02-26</t>
        </is>
      </c>
    </row>
    <row r="108">
      <c r="A108" s="2" t="inlineStr">
        <is>
          <t>8AJCVCVTVELUDGWDT</t>
        </is>
      </c>
      <c r="B108" s="2" t="n">
        <v>1333</v>
      </c>
      <c r="C108" s="3" t="inlineStr">
        <is>
          <t>Toyotoshi</t>
        </is>
      </c>
      <c r="D108" s="3" t="inlineStr">
        <is>
          <t>Paraguay</t>
        </is>
      </c>
      <c r="E108" s="3" t="inlineStr">
        <is>
          <t>Corolla</t>
        </is>
      </c>
      <c r="F108" s="2" t="n">
        <v>3</v>
      </c>
      <c r="G108" s="2" t="inlineStr">
        <is>
          <t>2025-02-18</t>
        </is>
      </c>
    </row>
    <row r="109">
      <c r="A109" s="4" t="inlineStr">
        <is>
          <t>8AJSBS30P31WBMC97</t>
        </is>
      </c>
      <c r="B109" s="4" t="n">
        <v>1444</v>
      </c>
      <c r="C109" s="5" t="inlineStr">
        <is>
          <t>Ayax</t>
        </is>
      </c>
      <c r="D109" s="5" t="inlineStr">
        <is>
          <t>Uruguay</t>
        </is>
      </c>
      <c r="E109" s="5" t="inlineStr">
        <is>
          <t>Corolla</t>
        </is>
      </c>
      <c r="F109" s="4" t="n">
        <v>1</v>
      </c>
      <c r="G109" s="4" t="inlineStr">
        <is>
          <t>2024-10-25</t>
        </is>
      </c>
    </row>
    <row r="110">
      <c r="A110" s="2" t="inlineStr">
        <is>
          <t>8AJFEY18N6R7NC85E</t>
        </is>
      </c>
      <c r="B110" s="2" t="n">
        <v>3442</v>
      </c>
      <c r="C110" s="3" t="inlineStr">
        <is>
          <t>Ayax</t>
        </is>
      </c>
      <c r="D110" s="3" t="inlineStr">
        <is>
          <t>Uruguay</t>
        </is>
      </c>
      <c r="E110" s="3" t="inlineStr">
        <is>
          <t>Hilux</t>
        </is>
      </c>
      <c r="F110" s="2" t="n">
        <v>3</v>
      </c>
      <c r="G110" s="2" t="inlineStr">
        <is>
          <t>2025-03-03</t>
        </is>
      </c>
    </row>
    <row r="111">
      <c r="A111" s="4" t="inlineStr">
        <is>
          <t>8AJU1HAAKZUU4JMK7</t>
        </is>
      </c>
      <c r="B111" s="4" t="n">
        <v>1777</v>
      </c>
      <c r="C111" s="5" t="inlineStr">
        <is>
          <t>Ayax</t>
        </is>
      </c>
      <c r="D111" s="5" t="inlineStr">
        <is>
          <t>Uruguay</t>
        </is>
      </c>
      <c r="E111" s="5" t="inlineStr">
        <is>
          <t>Hilux</t>
        </is>
      </c>
      <c r="F111" s="4" t="n">
        <v>7</v>
      </c>
      <c r="G111" s="4" t="inlineStr">
        <is>
          <t>2024-06-09</t>
        </is>
      </c>
    </row>
    <row r="112">
      <c r="A112" s="2" t="inlineStr">
        <is>
          <t>8AJGDBW0B1PHH5BTK</t>
        </is>
      </c>
      <c r="B112" s="2" t="n">
        <v>4996</v>
      </c>
      <c r="C112" s="3" t="inlineStr">
        <is>
          <t>TCL</t>
        </is>
      </c>
      <c r="D112" s="3" t="inlineStr">
        <is>
          <t>Chile</t>
        </is>
      </c>
      <c r="E112" s="3" t="inlineStr">
        <is>
          <t>Corolla Cross</t>
        </is>
      </c>
      <c r="F112" s="2" t="n">
        <v>6</v>
      </c>
      <c r="G112" s="2" t="inlineStr">
        <is>
          <t>2024-09-30</t>
        </is>
      </c>
    </row>
    <row r="113">
      <c r="A113" s="4" t="inlineStr">
        <is>
          <t>8AJ59UPKVW1FZVBMY</t>
        </is>
      </c>
      <c r="B113" s="4" t="n">
        <v>3664</v>
      </c>
      <c r="C113" s="5" t="inlineStr">
        <is>
          <t>Toyotoshi</t>
        </is>
      </c>
      <c r="D113" s="5" t="inlineStr">
        <is>
          <t>Paraguay</t>
        </is>
      </c>
      <c r="E113" s="5" t="inlineStr">
        <is>
          <t>GR86</t>
        </is>
      </c>
      <c r="F113" s="4" t="n">
        <v>6</v>
      </c>
      <c r="G113" s="4" t="inlineStr">
        <is>
          <t>2024-12-31</t>
        </is>
      </c>
    </row>
    <row r="114">
      <c r="A114" s="2" t="inlineStr">
        <is>
          <t>8AJEN1S5K037V8VEJ</t>
        </is>
      </c>
      <c r="B114" s="2" t="n">
        <v>2443</v>
      </c>
      <c r="C114" s="3" t="inlineStr">
        <is>
          <t>Ayax</t>
        </is>
      </c>
      <c r="D114" s="3" t="inlineStr">
        <is>
          <t>Uruguay</t>
        </is>
      </c>
      <c r="E114" s="3" t="inlineStr">
        <is>
          <t>Corolla Cross</t>
        </is>
      </c>
      <c r="F114" s="2" t="n">
        <v>2</v>
      </c>
      <c r="G114" s="2" t="inlineStr">
        <is>
          <t>2025-01-17</t>
        </is>
      </c>
    </row>
    <row r="115">
      <c r="A115" s="4" t="inlineStr">
        <is>
          <t>8AJD0GJZW5G20VS5L</t>
        </is>
      </c>
      <c r="B115" s="4" t="n">
        <v>1000</v>
      </c>
      <c r="C115" s="5" t="inlineStr">
        <is>
          <t>Toyotoshi</t>
        </is>
      </c>
      <c r="D115" s="5" t="inlineStr">
        <is>
          <t>Paraguay</t>
        </is>
      </c>
      <c r="E115" s="5" t="inlineStr">
        <is>
          <t>Fortuner</t>
        </is>
      </c>
      <c r="F115" s="4" t="n">
        <v>4</v>
      </c>
      <c r="G115" s="4" t="inlineStr">
        <is>
          <t>2024-07-31</t>
        </is>
      </c>
    </row>
    <row r="116">
      <c r="A116" s="2" t="inlineStr">
        <is>
          <t>8AJ7Z0PHLKSYLM6S3</t>
        </is>
      </c>
      <c r="B116" s="2" t="n">
        <v>4330</v>
      </c>
      <c r="C116" s="3" t="inlineStr">
        <is>
          <t>Ayax</t>
        </is>
      </c>
      <c r="D116" s="3" t="inlineStr">
        <is>
          <t>Uruguay</t>
        </is>
      </c>
      <c r="E116" s="3" t="inlineStr">
        <is>
          <t>GR86</t>
        </is>
      </c>
      <c r="F116" s="2" t="n">
        <v>6</v>
      </c>
      <c r="G116" s="2" t="inlineStr">
        <is>
          <t>2024-09-13</t>
        </is>
      </c>
    </row>
    <row r="117">
      <c r="A117" s="4" t="inlineStr">
        <is>
          <t>8AJLB51AVW0KGHVJV</t>
        </is>
      </c>
      <c r="B117" s="4" t="n">
        <v>3331</v>
      </c>
      <c r="C117" s="5" t="inlineStr">
        <is>
          <t>Toyotoshi</t>
        </is>
      </c>
      <c r="D117" s="5" t="inlineStr">
        <is>
          <t>Paraguay</t>
        </is>
      </c>
      <c r="E117" s="5" t="inlineStr">
        <is>
          <t>Corolla Cross</t>
        </is>
      </c>
      <c r="F117" s="4" t="n">
        <v>8</v>
      </c>
      <c r="G117" s="4" t="inlineStr">
        <is>
          <t>2025-02-07</t>
        </is>
      </c>
    </row>
    <row r="118">
      <c r="A118" s="2" t="inlineStr">
        <is>
          <t>8AJF3F0T7UYBB48Z2</t>
        </is>
      </c>
      <c r="B118" s="2" t="n">
        <v>3886</v>
      </c>
      <c r="C118" s="3" t="inlineStr">
        <is>
          <t>Ayax</t>
        </is>
      </c>
      <c r="D118" s="3" t="inlineStr">
        <is>
          <t>Uruguay</t>
        </is>
      </c>
      <c r="E118" s="3" t="inlineStr">
        <is>
          <t>Fortuner</t>
        </is>
      </c>
      <c r="F118" s="2" t="n">
        <v>4</v>
      </c>
      <c r="G118" s="2" t="inlineStr">
        <is>
          <t>2024-07-05</t>
        </is>
      </c>
    </row>
    <row r="119">
      <c r="A119" s="4" t="inlineStr">
        <is>
          <t>8AJATNXZXSTAVAUK9</t>
        </is>
      </c>
      <c r="B119" s="4" t="n">
        <v>1111</v>
      </c>
      <c r="C119" s="5" t="inlineStr">
        <is>
          <t>TCL</t>
        </is>
      </c>
      <c r="D119" s="5" t="inlineStr">
        <is>
          <t>Chile</t>
        </is>
      </c>
      <c r="E119" s="5" t="inlineStr">
        <is>
          <t>Yaris</t>
        </is>
      </c>
      <c r="F119" s="4" t="n">
        <v>7</v>
      </c>
      <c r="G119" s="4" t="inlineStr">
        <is>
          <t>2024-08-31</t>
        </is>
      </c>
    </row>
    <row r="120">
      <c r="A120" s="2" t="inlineStr">
        <is>
          <t>8AJ7UHXJM3C8SJ0K4</t>
        </is>
      </c>
      <c r="B120" s="2" t="n">
        <v>1555</v>
      </c>
      <c r="C120" s="3" t="inlineStr">
        <is>
          <t>TDB</t>
        </is>
      </c>
      <c r="D120" s="3" t="inlineStr">
        <is>
          <t>Brasil</t>
        </is>
      </c>
      <c r="E120" s="3" t="inlineStr">
        <is>
          <t>Hiace</t>
        </is>
      </c>
      <c r="F120" s="2" t="n">
        <v>1</v>
      </c>
      <c r="G120" s="2" t="inlineStr">
        <is>
          <t>2024-07-18</t>
        </is>
      </c>
    </row>
    <row r="121">
      <c r="A121" s="4" t="inlineStr">
        <is>
          <t>8AJNVBAFTR2V5DUBG</t>
        </is>
      </c>
      <c r="B121" s="4" t="n">
        <v>4996</v>
      </c>
      <c r="C121" s="5" t="inlineStr">
        <is>
          <t>Ayax</t>
        </is>
      </c>
      <c r="D121" s="5" t="inlineStr">
        <is>
          <t>Uruguay</t>
        </is>
      </c>
      <c r="E121" s="5" t="inlineStr">
        <is>
          <t>Corolla</t>
        </is>
      </c>
      <c r="F121" s="4" t="n">
        <v>5</v>
      </c>
      <c r="G121" s="4" t="inlineStr">
        <is>
          <t>2024-06-24</t>
        </is>
      </c>
    </row>
    <row r="122">
      <c r="A122" s="2" t="inlineStr">
        <is>
          <t>8AJZKUYF5AGE447KV</t>
        </is>
      </c>
      <c r="B122" s="2" t="n">
        <v>4996</v>
      </c>
      <c r="C122" s="3" t="inlineStr">
        <is>
          <t>TDB</t>
        </is>
      </c>
      <c r="D122" s="3" t="inlineStr">
        <is>
          <t>Brasil</t>
        </is>
      </c>
      <c r="E122" s="3" t="inlineStr">
        <is>
          <t>GR86</t>
        </is>
      </c>
      <c r="F122" s="2" t="n">
        <v>7</v>
      </c>
      <c r="G122" s="2" t="inlineStr">
        <is>
          <t>2025-03-04</t>
        </is>
      </c>
    </row>
    <row r="123">
      <c r="A123" s="4" t="inlineStr">
        <is>
          <t>8AJN13ZC1MDHCWXW8</t>
        </is>
      </c>
      <c r="B123" s="4" t="n">
        <v>3220</v>
      </c>
      <c r="C123" s="5" t="inlineStr">
        <is>
          <t>Toyotoshi</t>
        </is>
      </c>
      <c r="D123" s="5" t="inlineStr">
        <is>
          <t>Paraguay</t>
        </is>
      </c>
      <c r="E123" s="5" t="inlineStr">
        <is>
          <t>Hilux</t>
        </is>
      </c>
      <c r="F123" s="4" t="n">
        <v>5</v>
      </c>
      <c r="G123" s="4" t="inlineStr">
        <is>
          <t>2025-01-17</t>
        </is>
      </c>
    </row>
    <row r="124">
      <c r="A124" s="2" t="inlineStr">
        <is>
          <t>8AJHVNGWN2KJCJN2F</t>
        </is>
      </c>
      <c r="B124" s="2" t="n">
        <v>3664</v>
      </c>
      <c r="C124" s="3" t="inlineStr">
        <is>
          <t>Ayax</t>
        </is>
      </c>
      <c r="D124" s="3" t="inlineStr">
        <is>
          <t>Uruguay</t>
        </is>
      </c>
      <c r="E124" s="3" t="inlineStr">
        <is>
          <t>Corolla Cross</t>
        </is>
      </c>
      <c r="F124" s="2" t="n">
        <v>6</v>
      </c>
      <c r="G124" s="2" t="inlineStr">
        <is>
          <t>2024-07-25</t>
        </is>
      </c>
    </row>
    <row r="125">
      <c r="A125" s="4" t="inlineStr">
        <is>
          <t>8AJALMJEGRVPAMDWL</t>
        </is>
      </c>
      <c r="B125" s="4" t="n">
        <v>3664</v>
      </c>
      <c r="C125" s="5" t="inlineStr">
        <is>
          <t>TDB</t>
        </is>
      </c>
      <c r="D125" s="5" t="inlineStr">
        <is>
          <t>Brasil</t>
        </is>
      </c>
      <c r="E125" s="5" t="inlineStr">
        <is>
          <t>Hilux</t>
        </is>
      </c>
      <c r="F125" s="4" t="n">
        <v>5</v>
      </c>
      <c r="G125" s="4" t="inlineStr">
        <is>
          <t>2024-12-29</t>
        </is>
      </c>
    </row>
    <row r="126">
      <c r="A126" s="2" t="inlineStr">
        <is>
          <t>8AJ20V9JUZFJJEFKK</t>
        </is>
      </c>
      <c r="B126" s="2" t="n">
        <v>1444</v>
      </c>
      <c r="C126" s="3" t="inlineStr">
        <is>
          <t>Ayax</t>
        </is>
      </c>
      <c r="D126" s="3" t="inlineStr">
        <is>
          <t>Uruguay</t>
        </is>
      </c>
      <c r="E126" s="3" t="inlineStr">
        <is>
          <t>Corolla Cross</t>
        </is>
      </c>
      <c r="F126" s="2" t="n">
        <v>5</v>
      </c>
      <c r="G126" s="2" t="inlineStr">
        <is>
          <t>2024-10-05</t>
        </is>
      </c>
    </row>
    <row r="127">
      <c r="A127" s="4" t="inlineStr">
        <is>
          <t>8AJWGDL8LX3LM359E</t>
        </is>
      </c>
      <c r="B127" s="4" t="n">
        <v>3220</v>
      </c>
      <c r="C127" s="5" t="inlineStr">
        <is>
          <t>Ayax</t>
        </is>
      </c>
      <c r="D127" s="5" t="inlineStr">
        <is>
          <t>Uruguay</t>
        </is>
      </c>
      <c r="E127" s="5" t="inlineStr">
        <is>
          <t>Yaris</t>
        </is>
      </c>
      <c r="F127" s="4" t="n">
        <v>4</v>
      </c>
      <c r="G127" s="4" t="inlineStr">
        <is>
          <t>2025-02-01</t>
        </is>
      </c>
    </row>
    <row r="128">
      <c r="A128" s="2" t="inlineStr">
        <is>
          <t>8AJFPL1X82LK2N7G9</t>
        </is>
      </c>
      <c r="B128" s="2" t="n">
        <v>2221</v>
      </c>
      <c r="C128" s="3" t="inlineStr">
        <is>
          <t>Toyotoshi</t>
        </is>
      </c>
      <c r="D128" s="3" t="inlineStr">
        <is>
          <t>Paraguay</t>
        </is>
      </c>
      <c r="E128" s="3" t="inlineStr">
        <is>
          <t>Hiace</t>
        </is>
      </c>
      <c r="F128" s="2" t="n">
        <v>1</v>
      </c>
      <c r="G128" s="2" t="inlineStr">
        <is>
          <t>2025-01-23</t>
        </is>
      </c>
    </row>
    <row r="129">
      <c r="A129" s="4" t="inlineStr">
        <is>
          <t>8AJRKZ43PTXHY03C9</t>
        </is>
      </c>
      <c r="B129" s="4" t="n">
        <v>4330</v>
      </c>
      <c r="C129" s="5" t="inlineStr">
        <is>
          <t>TCL</t>
        </is>
      </c>
      <c r="D129" s="5" t="inlineStr">
        <is>
          <t>Chile</t>
        </is>
      </c>
      <c r="E129" s="5" t="inlineStr">
        <is>
          <t>Yaris</t>
        </is>
      </c>
      <c r="F129" s="4" t="n">
        <v>7</v>
      </c>
      <c r="G129" s="4" t="inlineStr">
        <is>
          <t>2025-03-01</t>
        </is>
      </c>
    </row>
    <row r="130">
      <c r="A130" s="2" t="inlineStr">
        <is>
          <t>8AJ75PB803W7DJYFX</t>
        </is>
      </c>
      <c r="B130" s="2" t="n">
        <v>4996</v>
      </c>
      <c r="C130" s="3" t="inlineStr">
        <is>
          <t>Toyosa</t>
        </is>
      </c>
      <c r="D130" s="3" t="inlineStr">
        <is>
          <t>Bolivia</t>
        </is>
      </c>
      <c r="E130" s="3" t="inlineStr">
        <is>
          <t>Hiace</t>
        </is>
      </c>
      <c r="F130" s="2" t="n">
        <v>7</v>
      </c>
      <c r="G130" s="2" t="inlineStr">
        <is>
          <t>2024-11-17</t>
        </is>
      </c>
    </row>
    <row r="131">
      <c r="A131" s="4" t="inlineStr">
        <is>
          <t>8AJDDH1VZHNSZZE9S</t>
        </is>
      </c>
      <c r="B131" s="4" t="n">
        <v>2998</v>
      </c>
      <c r="C131" s="5" t="inlineStr">
        <is>
          <t>Ayax</t>
        </is>
      </c>
      <c r="D131" s="5" t="inlineStr">
        <is>
          <t>Uruguay</t>
        </is>
      </c>
      <c r="E131" s="5" t="inlineStr">
        <is>
          <t>Corolla</t>
        </is>
      </c>
      <c r="F131" s="4" t="n">
        <v>2</v>
      </c>
      <c r="G131" s="4" t="inlineStr">
        <is>
          <t>2024-07-30</t>
        </is>
      </c>
    </row>
    <row r="132">
      <c r="A132" s="2" t="inlineStr">
        <is>
          <t>8AJMM2UMD0RCB0AMD</t>
        </is>
      </c>
      <c r="B132" s="2" t="n">
        <v>2110</v>
      </c>
      <c r="C132" s="3" t="inlineStr">
        <is>
          <t>TCL</t>
        </is>
      </c>
      <c r="D132" s="3" t="inlineStr">
        <is>
          <t>Chile</t>
        </is>
      </c>
      <c r="E132" s="3" t="inlineStr">
        <is>
          <t>Hiace</t>
        </is>
      </c>
      <c r="F132" s="2" t="n">
        <v>4</v>
      </c>
      <c r="G132" s="2" t="inlineStr">
        <is>
          <t>2025-02-20</t>
        </is>
      </c>
    </row>
    <row r="133">
      <c r="A133" s="4" t="inlineStr">
        <is>
          <t>8AJVLRS3XGYP16RRA</t>
        </is>
      </c>
      <c r="B133" s="4" t="n">
        <v>2443</v>
      </c>
      <c r="C133" s="5" t="inlineStr">
        <is>
          <t>TCL</t>
        </is>
      </c>
      <c r="D133" s="5" t="inlineStr">
        <is>
          <t>Chile</t>
        </is>
      </c>
      <c r="E133" s="5" t="inlineStr">
        <is>
          <t>Fortuner</t>
        </is>
      </c>
      <c r="F133" s="4" t="n">
        <v>5</v>
      </c>
      <c r="G133" s="4" t="inlineStr">
        <is>
          <t>2024-07-03</t>
        </is>
      </c>
    </row>
    <row r="134">
      <c r="A134" s="2" t="inlineStr">
        <is>
          <t>8AJD5GLSJ5UYWXWM4</t>
        </is>
      </c>
      <c r="B134" s="2" t="n">
        <v>5329</v>
      </c>
      <c r="C134" s="3" t="inlineStr">
        <is>
          <t>Toyosa</t>
        </is>
      </c>
      <c r="D134" s="3" t="inlineStr">
        <is>
          <t>Bolivia</t>
        </is>
      </c>
      <c r="E134" s="3" t="inlineStr">
        <is>
          <t>Fortuner</t>
        </is>
      </c>
      <c r="F134" s="2" t="n">
        <v>5</v>
      </c>
      <c r="G134" s="2" t="inlineStr">
        <is>
          <t>2024-07-14</t>
        </is>
      </c>
    </row>
    <row r="135">
      <c r="A135" s="4" t="inlineStr">
        <is>
          <t>8AJLHDNENWVPTU77F</t>
        </is>
      </c>
      <c r="B135" s="4" t="n">
        <v>2110</v>
      </c>
      <c r="C135" s="5" t="inlineStr">
        <is>
          <t>TCL</t>
        </is>
      </c>
      <c r="D135" s="5" t="inlineStr">
        <is>
          <t>Chile</t>
        </is>
      </c>
      <c r="E135" s="5" t="inlineStr">
        <is>
          <t>Corolla</t>
        </is>
      </c>
      <c r="F135" s="4" t="n">
        <v>5</v>
      </c>
      <c r="G135" s="4" t="inlineStr">
        <is>
          <t>2024-08-11</t>
        </is>
      </c>
    </row>
    <row r="136">
      <c r="A136" s="2" t="inlineStr">
        <is>
          <t>8AJLRBMAE38TTZP4T</t>
        </is>
      </c>
      <c r="B136" s="2" t="n">
        <v>1555</v>
      </c>
      <c r="C136" s="3" t="inlineStr">
        <is>
          <t>TCL</t>
        </is>
      </c>
      <c r="D136" s="3" t="inlineStr">
        <is>
          <t>Chile</t>
        </is>
      </c>
      <c r="E136" s="3" t="inlineStr">
        <is>
          <t>Yaris</t>
        </is>
      </c>
      <c r="F136" s="2" t="n">
        <v>1</v>
      </c>
      <c r="G136" s="2" t="inlineStr">
        <is>
          <t>2024-09-21</t>
        </is>
      </c>
    </row>
    <row r="137">
      <c r="A137" s="4" t="inlineStr">
        <is>
          <t>8AJBHK2V2TTVJU9U1</t>
        </is>
      </c>
      <c r="B137" s="4" t="n">
        <v>4108</v>
      </c>
      <c r="C137" s="5" t="inlineStr">
        <is>
          <t>Toyotoshi</t>
        </is>
      </c>
      <c r="D137" s="5" t="inlineStr">
        <is>
          <t>Paraguay</t>
        </is>
      </c>
      <c r="E137" s="5" t="inlineStr">
        <is>
          <t>Yaris</t>
        </is>
      </c>
      <c r="F137" s="4" t="n">
        <v>4</v>
      </c>
      <c r="G137" s="4" t="inlineStr">
        <is>
          <t>2025-01-04</t>
        </is>
      </c>
    </row>
    <row r="138">
      <c r="A138" s="2" t="inlineStr">
        <is>
          <t>8AJ1YJ5BJ5C5D3G1Z</t>
        </is>
      </c>
      <c r="B138" s="2" t="n">
        <v>5329</v>
      </c>
      <c r="C138" s="3" t="inlineStr">
        <is>
          <t>TDB</t>
        </is>
      </c>
      <c r="D138" s="3" t="inlineStr">
        <is>
          <t>Brasil</t>
        </is>
      </c>
      <c r="E138" s="3" t="inlineStr">
        <is>
          <t>Hiace</t>
        </is>
      </c>
      <c r="F138" s="2" t="n">
        <v>7</v>
      </c>
      <c r="G138" s="2" t="inlineStr">
        <is>
          <t>2024-08-24</t>
        </is>
      </c>
    </row>
    <row r="139">
      <c r="A139" s="4" t="inlineStr">
        <is>
          <t>8AJEGGBMKUL0KJ59Z</t>
        </is>
      </c>
      <c r="B139" s="4" t="n">
        <v>1666</v>
      </c>
      <c r="C139" s="5" t="inlineStr">
        <is>
          <t>Toyosa</t>
        </is>
      </c>
      <c r="D139" s="5" t="inlineStr">
        <is>
          <t>Bolivia</t>
        </is>
      </c>
      <c r="E139" s="5" t="inlineStr">
        <is>
          <t>Fortuner</t>
        </is>
      </c>
      <c r="F139" s="4" t="n">
        <v>7</v>
      </c>
      <c r="G139" s="4" t="inlineStr">
        <is>
          <t>2024-07-01</t>
        </is>
      </c>
    </row>
    <row r="140">
      <c r="A140" s="2" t="inlineStr">
        <is>
          <t>8AJ5E5J042ZTWJPRX</t>
        </is>
      </c>
      <c r="B140" s="2" t="n">
        <v>1555</v>
      </c>
      <c r="C140" s="3" t="inlineStr">
        <is>
          <t>Toyotoshi</t>
        </is>
      </c>
      <c r="D140" s="3" t="inlineStr">
        <is>
          <t>Paraguay</t>
        </is>
      </c>
      <c r="E140" s="3" t="inlineStr">
        <is>
          <t>Corolla</t>
        </is>
      </c>
      <c r="F140" s="2" t="n">
        <v>5</v>
      </c>
      <c r="G140" s="2" t="inlineStr">
        <is>
          <t>2024-12-06</t>
        </is>
      </c>
    </row>
    <row r="141">
      <c r="A141" s="4" t="inlineStr">
        <is>
          <t>8AJ8LA211SYMCUHRG</t>
        </is>
      </c>
      <c r="B141" s="4" t="n">
        <v>2887</v>
      </c>
      <c r="C141" s="5" t="inlineStr">
        <is>
          <t>Ayax</t>
        </is>
      </c>
      <c r="D141" s="5" t="inlineStr">
        <is>
          <t>Uruguay</t>
        </is>
      </c>
      <c r="E141" s="5" t="inlineStr">
        <is>
          <t>Corolla Cross</t>
        </is>
      </c>
      <c r="F141" s="4" t="n">
        <v>5</v>
      </c>
      <c r="G141" s="4" t="inlineStr">
        <is>
          <t>2024-11-20</t>
        </is>
      </c>
    </row>
    <row r="142">
      <c r="A142" s="2" t="inlineStr">
        <is>
          <t>8AJWVTMZBD2SE5RA8</t>
        </is>
      </c>
      <c r="B142" s="2" t="n">
        <v>2332</v>
      </c>
      <c r="C142" s="3" t="inlineStr">
        <is>
          <t>Toyosa</t>
        </is>
      </c>
      <c r="D142" s="3" t="inlineStr">
        <is>
          <t>Bolivia</t>
        </is>
      </c>
      <c r="E142" s="3" t="inlineStr">
        <is>
          <t>Hiace</t>
        </is>
      </c>
      <c r="F142" s="2" t="n">
        <v>3</v>
      </c>
      <c r="G142" s="2" t="inlineStr">
        <is>
          <t>2024-11-02</t>
        </is>
      </c>
    </row>
    <row r="143">
      <c r="A143" s="4" t="inlineStr">
        <is>
          <t>8AJ55DMCYYBX01RDD</t>
        </is>
      </c>
      <c r="B143" s="4" t="n">
        <v>2443</v>
      </c>
      <c r="C143" s="5" t="inlineStr">
        <is>
          <t>TCL</t>
        </is>
      </c>
      <c r="D143" s="5" t="inlineStr">
        <is>
          <t>Chile</t>
        </is>
      </c>
      <c r="E143" s="5" t="inlineStr">
        <is>
          <t>Corolla</t>
        </is>
      </c>
      <c r="F143" s="4" t="n">
        <v>2</v>
      </c>
      <c r="G143" s="4" t="inlineStr">
        <is>
          <t>2024-08-07</t>
        </is>
      </c>
    </row>
    <row r="144">
      <c r="A144" s="2" t="inlineStr">
        <is>
          <t>8AJHZAZ39PECN1DL6</t>
        </is>
      </c>
      <c r="B144" s="2" t="n">
        <v>1888</v>
      </c>
      <c r="C144" s="3" t="inlineStr">
        <is>
          <t>Toyosa</t>
        </is>
      </c>
      <c r="D144" s="3" t="inlineStr">
        <is>
          <t>Bolivia</t>
        </is>
      </c>
      <c r="E144" s="3" t="inlineStr">
        <is>
          <t>Corolla</t>
        </is>
      </c>
      <c r="F144" s="2" t="n">
        <v>3</v>
      </c>
      <c r="G144" s="2" t="inlineStr">
        <is>
          <t>2024-08-13</t>
        </is>
      </c>
    </row>
    <row r="145">
      <c r="A145" s="4" t="inlineStr">
        <is>
          <t>8AJUAYR0XEPZ5CD1W</t>
        </is>
      </c>
      <c r="B145" s="4" t="n">
        <v>3664</v>
      </c>
      <c r="C145" s="5" t="inlineStr">
        <is>
          <t>TDB</t>
        </is>
      </c>
      <c r="D145" s="5" t="inlineStr">
        <is>
          <t>Brasil</t>
        </is>
      </c>
      <c r="E145" s="5" t="inlineStr">
        <is>
          <t>Corolla Cross</t>
        </is>
      </c>
      <c r="F145" s="4" t="n">
        <v>7</v>
      </c>
      <c r="G145" s="4" t="inlineStr">
        <is>
          <t>2024-11-09</t>
        </is>
      </c>
    </row>
    <row r="146">
      <c r="A146" s="2" t="inlineStr">
        <is>
          <t>8AJJYJW0K8A45GXGN</t>
        </is>
      </c>
      <c r="B146" s="2" t="n">
        <v>1333</v>
      </c>
      <c r="C146" s="3" t="inlineStr">
        <is>
          <t>TCL</t>
        </is>
      </c>
      <c r="D146" s="3" t="inlineStr">
        <is>
          <t>Chile</t>
        </is>
      </c>
      <c r="E146" s="3" t="inlineStr">
        <is>
          <t>GR86</t>
        </is>
      </c>
      <c r="F146" s="2" t="n">
        <v>4</v>
      </c>
      <c r="G146" s="2" t="inlineStr">
        <is>
          <t>2025-02-09</t>
        </is>
      </c>
    </row>
    <row r="147">
      <c r="A147" s="4" t="inlineStr">
        <is>
          <t>8AJDTWU997E5VNZ28</t>
        </is>
      </c>
      <c r="B147" s="4" t="n">
        <v>1444</v>
      </c>
      <c r="C147" s="5" t="inlineStr">
        <is>
          <t>Ayax</t>
        </is>
      </c>
      <c r="D147" s="5" t="inlineStr">
        <is>
          <t>Uruguay</t>
        </is>
      </c>
      <c r="E147" s="5" t="inlineStr">
        <is>
          <t>Hilux</t>
        </is>
      </c>
      <c r="F147" s="4" t="n">
        <v>2</v>
      </c>
      <c r="G147" s="4" t="inlineStr">
        <is>
          <t>2024-06-08</t>
        </is>
      </c>
    </row>
    <row r="148">
      <c r="A148" s="2" t="inlineStr">
        <is>
          <t>8AJH78PK02PPYUFCC</t>
        </is>
      </c>
      <c r="B148" s="2" t="n">
        <v>2443</v>
      </c>
      <c r="C148" s="3" t="inlineStr">
        <is>
          <t>Toyotoshi</t>
        </is>
      </c>
      <c r="D148" s="3" t="inlineStr">
        <is>
          <t>Paraguay</t>
        </is>
      </c>
      <c r="E148" s="3" t="inlineStr">
        <is>
          <t>GR86</t>
        </is>
      </c>
      <c r="F148" s="2" t="n">
        <v>3</v>
      </c>
      <c r="G148" s="2" t="inlineStr">
        <is>
          <t>2025-03-02</t>
        </is>
      </c>
    </row>
    <row r="149">
      <c r="A149" s="4" t="inlineStr">
        <is>
          <t>8AJNX4ZC014BCRRXL</t>
        </is>
      </c>
      <c r="B149" s="4" t="n">
        <v>2221</v>
      </c>
      <c r="C149" s="5" t="inlineStr">
        <is>
          <t>Toyotoshi</t>
        </is>
      </c>
      <c r="D149" s="5" t="inlineStr">
        <is>
          <t>Paraguay</t>
        </is>
      </c>
      <c r="E149" s="5" t="inlineStr">
        <is>
          <t>Hilux</t>
        </is>
      </c>
      <c r="F149" s="4" t="n">
        <v>1</v>
      </c>
      <c r="G149" s="4" t="inlineStr">
        <is>
          <t>2024-08-10</t>
        </is>
      </c>
    </row>
    <row r="150">
      <c r="A150" s="2" t="inlineStr">
        <is>
          <t>8AJF8U20FE2J62A3J</t>
        </is>
      </c>
      <c r="B150" s="2" t="n">
        <v>1444</v>
      </c>
      <c r="C150" s="3" t="inlineStr">
        <is>
          <t>TDB</t>
        </is>
      </c>
      <c r="D150" s="3" t="inlineStr">
        <is>
          <t>Brasil</t>
        </is>
      </c>
      <c r="E150" s="3" t="inlineStr">
        <is>
          <t>Corolla Cross</t>
        </is>
      </c>
      <c r="F150" s="2" t="n">
        <v>2</v>
      </c>
      <c r="G150" s="2" t="inlineStr">
        <is>
          <t>2025-02-10</t>
        </is>
      </c>
    </row>
    <row r="151">
      <c r="A151" s="4" t="inlineStr">
        <is>
          <t>8AJTB5FF26ZD1A5AB</t>
        </is>
      </c>
      <c r="B151" s="4" t="n">
        <v>3553</v>
      </c>
      <c r="C151" s="5" t="inlineStr">
        <is>
          <t>Ayax</t>
        </is>
      </c>
      <c r="D151" s="5" t="inlineStr">
        <is>
          <t>Uruguay</t>
        </is>
      </c>
      <c r="E151" s="5" t="inlineStr">
        <is>
          <t>Corolla</t>
        </is>
      </c>
      <c r="F151" s="4" t="n">
        <v>3</v>
      </c>
      <c r="G151" s="4" t="inlineStr">
        <is>
          <t>2024-08-31</t>
        </is>
      </c>
    </row>
    <row r="152">
      <c r="A152" s="2" t="inlineStr">
        <is>
          <t>8AJV71PLP0JCNT6F3</t>
        </is>
      </c>
      <c r="B152" s="2" t="n">
        <v>1222</v>
      </c>
      <c r="C152" s="3" t="inlineStr">
        <is>
          <t>TDB</t>
        </is>
      </c>
      <c r="D152" s="3" t="inlineStr">
        <is>
          <t>Brasil</t>
        </is>
      </c>
      <c r="E152" s="3" t="inlineStr">
        <is>
          <t>Corolla</t>
        </is>
      </c>
      <c r="F152" s="2" t="n">
        <v>2</v>
      </c>
      <c r="G152" s="2" t="inlineStr">
        <is>
          <t>2025-01-25</t>
        </is>
      </c>
    </row>
    <row r="153">
      <c r="A153" s="4" t="inlineStr">
        <is>
          <t>8AJ2LCSNK21JN9921</t>
        </is>
      </c>
      <c r="B153" s="4" t="n">
        <v>4774</v>
      </c>
      <c r="C153" s="5" t="inlineStr">
        <is>
          <t>Toyotoshi</t>
        </is>
      </c>
      <c r="D153" s="5" t="inlineStr">
        <is>
          <t>Paraguay</t>
        </is>
      </c>
      <c r="E153" s="5" t="inlineStr">
        <is>
          <t>GR86</t>
        </is>
      </c>
      <c r="F153" s="4" t="n">
        <v>4</v>
      </c>
      <c r="G153" s="4" t="inlineStr">
        <is>
          <t>2024-08-17</t>
        </is>
      </c>
    </row>
    <row r="154">
      <c r="A154" s="2" t="inlineStr">
        <is>
          <t>8AJ7AUXZAM2N1LG9P</t>
        </is>
      </c>
      <c r="B154" s="2" t="n">
        <v>1333</v>
      </c>
      <c r="C154" s="3" t="inlineStr">
        <is>
          <t>TDB</t>
        </is>
      </c>
      <c r="D154" s="3" t="inlineStr">
        <is>
          <t>Brasil</t>
        </is>
      </c>
      <c r="E154" s="3" t="inlineStr">
        <is>
          <t>Fortuner</t>
        </is>
      </c>
      <c r="F154" s="2" t="n">
        <v>5</v>
      </c>
      <c r="G154" s="2" t="inlineStr">
        <is>
          <t>2024-07-18</t>
        </is>
      </c>
    </row>
    <row r="155">
      <c r="A155" s="4" t="inlineStr">
        <is>
          <t>8AJ76U0N9CDE4CVR8</t>
        </is>
      </c>
      <c r="B155" s="4" t="n">
        <v>2665</v>
      </c>
      <c r="C155" s="5" t="inlineStr">
        <is>
          <t>TDB</t>
        </is>
      </c>
      <c r="D155" s="5" t="inlineStr">
        <is>
          <t>Brasil</t>
        </is>
      </c>
      <c r="E155" s="5" t="inlineStr">
        <is>
          <t>Corolla Cross</t>
        </is>
      </c>
      <c r="F155" s="4" t="n">
        <v>5</v>
      </c>
      <c r="G155" s="4" t="inlineStr">
        <is>
          <t>2024-11-09</t>
        </is>
      </c>
    </row>
    <row r="156">
      <c r="A156" s="2" t="inlineStr">
        <is>
          <t>8AJ01LJCG2WFFSPU8</t>
        </is>
      </c>
      <c r="B156" s="2" t="n">
        <v>2443</v>
      </c>
      <c r="C156" s="3" t="inlineStr">
        <is>
          <t>Ayax</t>
        </is>
      </c>
      <c r="D156" s="3" t="inlineStr">
        <is>
          <t>Uruguay</t>
        </is>
      </c>
      <c r="E156" s="3" t="inlineStr">
        <is>
          <t>Corolla</t>
        </is>
      </c>
      <c r="F156" s="2" t="n">
        <v>5</v>
      </c>
      <c r="G156" s="2" t="inlineStr">
        <is>
          <t>2025-01-24</t>
        </is>
      </c>
    </row>
    <row r="157">
      <c r="A157" s="4" t="inlineStr">
        <is>
          <t>8AJ5C3L0WH5E08PBK</t>
        </is>
      </c>
      <c r="B157" s="4" t="n">
        <v>2221</v>
      </c>
      <c r="C157" s="5" t="inlineStr">
        <is>
          <t>Toyotoshi</t>
        </is>
      </c>
      <c r="D157" s="5" t="inlineStr">
        <is>
          <t>Paraguay</t>
        </is>
      </c>
      <c r="E157" s="5" t="inlineStr">
        <is>
          <t>Hilux</t>
        </is>
      </c>
      <c r="F157" s="4" t="n">
        <v>7</v>
      </c>
      <c r="G157" s="4" t="inlineStr">
        <is>
          <t>2025-01-18</t>
        </is>
      </c>
    </row>
    <row r="158">
      <c r="A158" s="2" t="inlineStr">
        <is>
          <t>8AJ1JS3EA49E4NXYW</t>
        </is>
      </c>
      <c r="B158" s="2" t="n">
        <v>2776</v>
      </c>
      <c r="C158" s="3" t="inlineStr">
        <is>
          <t>Toyosa</t>
        </is>
      </c>
      <c r="D158" s="3" t="inlineStr">
        <is>
          <t>Bolivia</t>
        </is>
      </c>
      <c r="E158" s="3" t="inlineStr">
        <is>
          <t>GR86</t>
        </is>
      </c>
      <c r="F158" s="2" t="n">
        <v>2</v>
      </c>
      <c r="G158" s="2" t="inlineStr">
        <is>
          <t>2024-06-12</t>
        </is>
      </c>
    </row>
    <row r="159">
      <c r="A159" s="4" t="inlineStr">
        <is>
          <t>8AJGY3D43E8B7R0TN</t>
        </is>
      </c>
      <c r="B159" s="4" t="n">
        <v>3997</v>
      </c>
      <c r="C159" s="5" t="inlineStr">
        <is>
          <t>TDB</t>
        </is>
      </c>
      <c r="D159" s="5" t="inlineStr">
        <is>
          <t>Brasil</t>
        </is>
      </c>
      <c r="E159" s="5" t="inlineStr">
        <is>
          <t>Fortuner</t>
        </is>
      </c>
      <c r="F159" s="4" t="n">
        <v>6</v>
      </c>
      <c r="G159" s="4" t="inlineStr">
        <is>
          <t>2024-09-18</t>
        </is>
      </c>
    </row>
    <row r="160">
      <c r="A160" s="2" t="inlineStr">
        <is>
          <t>8AJKREXXYT6SCNPY3</t>
        </is>
      </c>
      <c r="B160" s="2" t="n">
        <v>2665</v>
      </c>
      <c r="C160" s="3" t="inlineStr">
        <is>
          <t>TCL</t>
        </is>
      </c>
      <c r="D160" s="3" t="inlineStr">
        <is>
          <t>Chile</t>
        </is>
      </c>
      <c r="E160" s="3" t="inlineStr">
        <is>
          <t>Hiace</t>
        </is>
      </c>
      <c r="F160" s="2" t="n">
        <v>1</v>
      </c>
      <c r="G160" s="2" t="inlineStr">
        <is>
          <t>2024-12-13</t>
        </is>
      </c>
    </row>
    <row r="161">
      <c r="A161" s="4" t="inlineStr">
        <is>
          <t>8AJS2MVLJAWA3K3SM</t>
        </is>
      </c>
      <c r="B161" s="4" t="n">
        <v>5107</v>
      </c>
      <c r="C161" s="5" t="inlineStr">
        <is>
          <t>Toyotoshi</t>
        </is>
      </c>
      <c r="D161" s="5" t="inlineStr">
        <is>
          <t>Paraguay</t>
        </is>
      </c>
      <c r="E161" s="5" t="inlineStr">
        <is>
          <t>Fortuner</t>
        </is>
      </c>
      <c r="F161" s="4" t="n">
        <v>3</v>
      </c>
      <c r="G161" s="4" t="inlineStr">
        <is>
          <t>2024-07-22</t>
        </is>
      </c>
    </row>
    <row r="162">
      <c r="A162" s="2" t="inlineStr">
        <is>
          <t>8AJYJ37B9H43M44FW</t>
        </is>
      </c>
      <c r="B162" s="2" t="n">
        <v>3442</v>
      </c>
      <c r="C162" s="3" t="inlineStr">
        <is>
          <t>TCL</t>
        </is>
      </c>
      <c r="D162" s="3" t="inlineStr">
        <is>
          <t>Chile</t>
        </is>
      </c>
      <c r="E162" s="3" t="inlineStr">
        <is>
          <t>Yaris</t>
        </is>
      </c>
      <c r="F162" s="2" t="n">
        <v>1</v>
      </c>
      <c r="G162" s="2" t="inlineStr">
        <is>
          <t>2024-11-28</t>
        </is>
      </c>
    </row>
    <row r="163">
      <c r="A163" s="4" t="inlineStr">
        <is>
          <t>8AJVVG96TLTCHHUA7</t>
        </is>
      </c>
      <c r="B163" s="4" t="n">
        <v>2332</v>
      </c>
      <c r="C163" s="5" t="inlineStr">
        <is>
          <t>Toyosa</t>
        </is>
      </c>
      <c r="D163" s="5" t="inlineStr">
        <is>
          <t>Bolivia</t>
        </is>
      </c>
      <c r="E163" s="5" t="inlineStr">
        <is>
          <t>GR86</t>
        </is>
      </c>
      <c r="F163" s="4" t="n">
        <v>3</v>
      </c>
      <c r="G163" s="4" t="inlineStr">
        <is>
          <t>2024-11-22</t>
        </is>
      </c>
    </row>
    <row r="164">
      <c r="A164" s="2" t="inlineStr">
        <is>
          <t>8AJ74LAW72458N8PD</t>
        </is>
      </c>
      <c r="B164" s="2" t="n">
        <v>3109</v>
      </c>
      <c r="C164" s="3" t="inlineStr">
        <is>
          <t>TCL</t>
        </is>
      </c>
      <c r="D164" s="3" t="inlineStr">
        <is>
          <t>Chile</t>
        </is>
      </c>
      <c r="E164" s="3" t="inlineStr">
        <is>
          <t>Corolla Cross</t>
        </is>
      </c>
      <c r="F164" s="2" t="n">
        <v>3</v>
      </c>
      <c r="G164" s="2" t="inlineStr">
        <is>
          <t>2024-08-20</t>
        </is>
      </c>
    </row>
    <row r="165">
      <c r="A165" s="4" t="inlineStr">
        <is>
          <t>8AJ38YF8Z72HWFLZE</t>
        </is>
      </c>
      <c r="B165" s="4" t="n">
        <v>1000</v>
      </c>
      <c r="C165" s="5" t="inlineStr">
        <is>
          <t>Ayax</t>
        </is>
      </c>
      <c r="D165" s="5" t="inlineStr">
        <is>
          <t>Uruguay</t>
        </is>
      </c>
      <c r="E165" s="5" t="inlineStr">
        <is>
          <t>Hiace</t>
        </is>
      </c>
      <c r="F165" s="4" t="n">
        <v>7</v>
      </c>
      <c r="G165" s="4" t="inlineStr">
        <is>
          <t>2025-03-18</t>
        </is>
      </c>
    </row>
    <row r="166">
      <c r="A166" s="2" t="inlineStr">
        <is>
          <t>8AJGL3XYDTLCMLX84</t>
        </is>
      </c>
      <c r="B166" s="2" t="n">
        <v>3331</v>
      </c>
      <c r="C166" s="3" t="inlineStr">
        <is>
          <t>TDB</t>
        </is>
      </c>
      <c r="D166" s="3" t="inlineStr">
        <is>
          <t>Brasil</t>
        </is>
      </c>
      <c r="E166" s="3" t="inlineStr">
        <is>
          <t>Corolla</t>
        </is>
      </c>
      <c r="F166" s="2" t="n">
        <v>1</v>
      </c>
      <c r="G166" s="2" t="inlineStr">
        <is>
          <t>2024-10-14</t>
        </is>
      </c>
    </row>
    <row r="167">
      <c r="A167" s="4" t="inlineStr">
        <is>
          <t>8AJJCJDAN186TNVDS</t>
        </is>
      </c>
      <c r="B167" s="4" t="n">
        <v>4996</v>
      </c>
      <c r="C167" s="5" t="inlineStr">
        <is>
          <t>TCL</t>
        </is>
      </c>
      <c r="D167" s="5" t="inlineStr">
        <is>
          <t>Chile</t>
        </is>
      </c>
      <c r="E167" s="5" t="inlineStr">
        <is>
          <t>Hiace</t>
        </is>
      </c>
      <c r="F167" s="4" t="n">
        <v>4</v>
      </c>
      <c r="G167" s="4" t="inlineStr">
        <is>
          <t>2024-08-23</t>
        </is>
      </c>
    </row>
    <row r="168">
      <c r="A168" s="2" t="inlineStr">
        <is>
          <t>8AJC4KL8CFN1V6DWX</t>
        </is>
      </c>
      <c r="B168" s="2" t="n">
        <v>4330</v>
      </c>
      <c r="C168" s="3" t="inlineStr">
        <is>
          <t>Ayax</t>
        </is>
      </c>
      <c r="D168" s="3" t="inlineStr">
        <is>
          <t>Uruguay</t>
        </is>
      </c>
      <c r="E168" s="3" t="inlineStr">
        <is>
          <t>Hiace</t>
        </is>
      </c>
      <c r="F168" s="2" t="n">
        <v>1</v>
      </c>
      <c r="G168" s="2" t="inlineStr">
        <is>
          <t>2025-01-07</t>
        </is>
      </c>
    </row>
    <row r="169">
      <c r="A169" s="4" t="inlineStr">
        <is>
          <t>8AJXRBL9PV7UYKDNV</t>
        </is>
      </c>
      <c r="B169" s="4" t="n">
        <v>4441</v>
      </c>
      <c r="C169" s="5" t="inlineStr">
        <is>
          <t>TCL</t>
        </is>
      </c>
      <c r="D169" s="5" t="inlineStr">
        <is>
          <t>Chile</t>
        </is>
      </c>
      <c r="E169" s="5" t="inlineStr">
        <is>
          <t>Fortuner</t>
        </is>
      </c>
      <c r="F169" s="4" t="n">
        <v>1</v>
      </c>
      <c r="G169" s="4" t="inlineStr">
        <is>
          <t>2024-12-02</t>
        </is>
      </c>
    </row>
    <row r="170">
      <c r="A170" s="2" t="inlineStr">
        <is>
          <t>8AJRKYWGAFKC4LPTY</t>
        </is>
      </c>
      <c r="B170" s="2" t="n">
        <v>1555</v>
      </c>
      <c r="C170" s="3" t="inlineStr">
        <is>
          <t>TDB</t>
        </is>
      </c>
      <c r="D170" s="3" t="inlineStr">
        <is>
          <t>Brasil</t>
        </is>
      </c>
      <c r="E170" s="3" t="inlineStr">
        <is>
          <t>Hiace</t>
        </is>
      </c>
      <c r="F170" s="2" t="n">
        <v>7</v>
      </c>
      <c r="G170" s="2" t="inlineStr">
        <is>
          <t>2024-09-03</t>
        </is>
      </c>
    </row>
    <row r="171">
      <c r="A171" s="4" t="inlineStr">
        <is>
          <t>8AJ6NRJSHJC1ZCMU9</t>
        </is>
      </c>
      <c r="B171" s="4" t="n">
        <v>5107</v>
      </c>
      <c r="C171" s="5" t="inlineStr">
        <is>
          <t>Toyotoshi</t>
        </is>
      </c>
      <c r="D171" s="5" t="inlineStr">
        <is>
          <t>Paraguay</t>
        </is>
      </c>
      <c r="E171" s="5" t="inlineStr">
        <is>
          <t>Fortuner</t>
        </is>
      </c>
      <c r="F171" s="4" t="n">
        <v>1</v>
      </c>
      <c r="G171" s="4" t="inlineStr">
        <is>
          <t>2024-12-16</t>
        </is>
      </c>
    </row>
    <row r="172">
      <c r="A172" s="2" t="inlineStr">
        <is>
          <t>8AJPU5S6SC60T63ZX</t>
        </is>
      </c>
      <c r="B172" s="2" t="n">
        <v>1777</v>
      </c>
      <c r="C172" s="3" t="inlineStr">
        <is>
          <t>Toyosa</t>
        </is>
      </c>
      <c r="D172" s="3" t="inlineStr">
        <is>
          <t>Bolivia</t>
        </is>
      </c>
      <c r="E172" s="3" t="inlineStr">
        <is>
          <t>GR86</t>
        </is>
      </c>
      <c r="F172" s="2" t="n">
        <v>8</v>
      </c>
      <c r="G172" s="2" t="inlineStr">
        <is>
          <t>2024-08-28</t>
        </is>
      </c>
    </row>
    <row r="173">
      <c r="A173" s="4" t="inlineStr">
        <is>
          <t>8AJ93EP9R9X4J77CN</t>
        </is>
      </c>
      <c r="B173" s="4" t="n">
        <v>3775</v>
      </c>
      <c r="C173" s="5" t="inlineStr">
        <is>
          <t>TCL</t>
        </is>
      </c>
      <c r="D173" s="5" t="inlineStr">
        <is>
          <t>Chile</t>
        </is>
      </c>
      <c r="E173" s="5" t="inlineStr">
        <is>
          <t>Yaris</t>
        </is>
      </c>
      <c r="F173" s="4" t="n">
        <v>6</v>
      </c>
      <c r="G173" s="4" t="inlineStr">
        <is>
          <t>2024-10-20</t>
        </is>
      </c>
    </row>
    <row r="174">
      <c r="A174" s="2" t="inlineStr">
        <is>
          <t>8AJS52XUPPEW287VD</t>
        </is>
      </c>
      <c r="B174" s="2" t="n">
        <v>2998</v>
      </c>
      <c r="C174" s="3" t="inlineStr">
        <is>
          <t>Toyosa</t>
        </is>
      </c>
      <c r="D174" s="3" t="inlineStr">
        <is>
          <t>Bolivia</t>
        </is>
      </c>
      <c r="E174" s="3" t="inlineStr">
        <is>
          <t>GR86</t>
        </is>
      </c>
      <c r="F174" s="2" t="n">
        <v>6</v>
      </c>
      <c r="G174" s="2" t="inlineStr">
        <is>
          <t>2024-12-28</t>
        </is>
      </c>
    </row>
    <row r="175">
      <c r="A175" s="4" t="inlineStr">
        <is>
          <t>8AJNTXBKEXZB6LH17</t>
        </is>
      </c>
      <c r="B175" s="4" t="n">
        <v>3553</v>
      </c>
      <c r="C175" s="5" t="inlineStr">
        <is>
          <t>Toyotoshi</t>
        </is>
      </c>
      <c r="D175" s="5" t="inlineStr">
        <is>
          <t>Paraguay</t>
        </is>
      </c>
      <c r="E175" s="5" t="inlineStr">
        <is>
          <t>Hilux</t>
        </is>
      </c>
      <c r="F175" s="4" t="n">
        <v>6</v>
      </c>
      <c r="G175" s="4" t="inlineStr">
        <is>
          <t>2024-11-03</t>
        </is>
      </c>
    </row>
    <row r="176">
      <c r="A176" s="2" t="inlineStr">
        <is>
          <t>8AJKTZD5E9R4JPYGG</t>
        </is>
      </c>
      <c r="B176" s="2" t="n">
        <v>3886</v>
      </c>
      <c r="C176" s="3" t="inlineStr">
        <is>
          <t>Toyotoshi</t>
        </is>
      </c>
      <c r="D176" s="3" t="inlineStr">
        <is>
          <t>Paraguay</t>
        </is>
      </c>
      <c r="E176" s="3" t="inlineStr">
        <is>
          <t>Hiace</t>
        </is>
      </c>
      <c r="F176" s="2" t="n">
        <v>8</v>
      </c>
      <c r="G176" s="2" t="inlineStr">
        <is>
          <t>2025-02-20</t>
        </is>
      </c>
    </row>
    <row r="177">
      <c r="A177" s="4" t="inlineStr">
        <is>
          <t>8AJ4UFLTE56AG44JS</t>
        </is>
      </c>
      <c r="B177" s="4" t="n">
        <v>3553</v>
      </c>
      <c r="C177" s="5" t="inlineStr">
        <is>
          <t>Toyotoshi</t>
        </is>
      </c>
      <c r="D177" s="5" t="inlineStr">
        <is>
          <t>Paraguay</t>
        </is>
      </c>
      <c r="E177" s="5" t="inlineStr">
        <is>
          <t>Hiace</t>
        </is>
      </c>
      <c r="F177" s="4" t="n">
        <v>4</v>
      </c>
      <c r="G177" s="4" t="inlineStr">
        <is>
          <t>2024-10-19</t>
        </is>
      </c>
    </row>
    <row r="178">
      <c r="A178" s="2" t="inlineStr">
        <is>
          <t>8AJ4TXEBNWF5WMF61</t>
        </is>
      </c>
      <c r="B178" s="2" t="n">
        <v>1555</v>
      </c>
      <c r="C178" s="3" t="inlineStr">
        <is>
          <t>Toyotoshi</t>
        </is>
      </c>
      <c r="D178" s="3" t="inlineStr">
        <is>
          <t>Paraguay</t>
        </is>
      </c>
      <c r="E178" s="3" t="inlineStr">
        <is>
          <t>Corolla Cross</t>
        </is>
      </c>
      <c r="F178" s="2" t="n">
        <v>1</v>
      </c>
      <c r="G178" s="2" t="inlineStr">
        <is>
          <t>2024-12-15</t>
        </is>
      </c>
    </row>
    <row r="179">
      <c r="A179" s="4" t="inlineStr">
        <is>
          <t>8AJFV85YZJPA22A7Y</t>
        </is>
      </c>
      <c r="B179" s="4" t="n">
        <v>5218</v>
      </c>
      <c r="C179" s="5" t="inlineStr">
        <is>
          <t>TDB</t>
        </is>
      </c>
      <c r="D179" s="5" t="inlineStr">
        <is>
          <t>Brasil</t>
        </is>
      </c>
      <c r="E179" s="5" t="inlineStr">
        <is>
          <t>GR86</t>
        </is>
      </c>
      <c r="F179" s="4" t="n">
        <v>1</v>
      </c>
      <c r="G179" s="4" t="inlineStr">
        <is>
          <t>2024-09-23</t>
        </is>
      </c>
    </row>
    <row r="180">
      <c r="A180" s="2" t="inlineStr">
        <is>
          <t>8AJX800K65SHKUXWA</t>
        </is>
      </c>
      <c r="B180" s="2" t="n">
        <v>3553</v>
      </c>
      <c r="C180" s="3" t="inlineStr">
        <is>
          <t>Toyotoshi</t>
        </is>
      </c>
      <c r="D180" s="3" t="inlineStr">
        <is>
          <t>Paraguay</t>
        </is>
      </c>
      <c r="E180" s="3" t="inlineStr">
        <is>
          <t>Yaris</t>
        </is>
      </c>
      <c r="F180" s="2" t="n">
        <v>5</v>
      </c>
      <c r="G180" s="2" t="inlineStr">
        <is>
          <t>2024-10-31</t>
        </is>
      </c>
    </row>
    <row r="181">
      <c r="A181" s="4" t="inlineStr">
        <is>
          <t>8AJSMKLKY8YGUHB53</t>
        </is>
      </c>
      <c r="B181" s="4" t="n">
        <v>3775</v>
      </c>
      <c r="C181" s="5" t="inlineStr">
        <is>
          <t>TDB</t>
        </is>
      </c>
      <c r="D181" s="5" t="inlineStr">
        <is>
          <t>Brasil</t>
        </is>
      </c>
      <c r="E181" s="5" t="inlineStr">
        <is>
          <t>Hiace</t>
        </is>
      </c>
      <c r="F181" s="4" t="n">
        <v>6</v>
      </c>
      <c r="G181" s="4" t="inlineStr">
        <is>
          <t>2024-08-11</t>
        </is>
      </c>
    </row>
    <row r="182">
      <c r="A182" s="2" t="inlineStr">
        <is>
          <t>8AJY9JPNB0VG0HU26</t>
        </is>
      </c>
      <c r="B182" s="2" t="n">
        <v>3442</v>
      </c>
      <c r="C182" s="3" t="inlineStr">
        <is>
          <t>TDB</t>
        </is>
      </c>
      <c r="D182" s="3" t="inlineStr">
        <is>
          <t>Brasil</t>
        </is>
      </c>
      <c r="E182" s="3" t="inlineStr">
        <is>
          <t>Yaris</t>
        </is>
      </c>
      <c r="F182" s="2" t="n">
        <v>5</v>
      </c>
      <c r="G182" s="2" t="inlineStr">
        <is>
          <t>2024-08-27</t>
        </is>
      </c>
    </row>
    <row r="183">
      <c r="A183" s="4" t="inlineStr">
        <is>
          <t>8AJFDEJ32GZMCM1L3</t>
        </is>
      </c>
      <c r="B183" s="4" t="n">
        <v>3331</v>
      </c>
      <c r="C183" s="5" t="inlineStr">
        <is>
          <t>Toyosa</t>
        </is>
      </c>
      <c r="D183" s="5" t="inlineStr">
        <is>
          <t>Bolivia</t>
        </is>
      </c>
      <c r="E183" s="5" t="inlineStr">
        <is>
          <t>Corolla Cross</t>
        </is>
      </c>
      <c r="F183" s="4" t="n">
        <v>5</v>
      </c>
      <c r="G183" s="4" t="inlineStr">
        <is>
          <t>2025-03-27</t>
        </is>
      </c>
    </row>
    <row r="184">
      <c r="A184" s="2" t="inlineStr">
        <is>
          <t>8AJSDBXWXSGDZUP5E</t>
        </is>
      </c>
      <c r="B184" s="2" t="n">
        <v>2332</v>
      </c>
      <c r="C184" s="3" t="inlineStr">
        <is>
          <t>Toyotoshi</t>
        </is>
      </c>
      <c r="D184" s="3" t="inlineStr">
        <is>
          <t>Paraguay</t>
        </is>
      </c>
      <c r="E184" s="3" t="inlineStr">
        <is>
          <t>Corolla Cross</t>
        </is>
      </c>
      <c r="F184" s="2" t="n">
        <v>7</v>
      </c>
      <c r="G184" s="2" t="inlineStr">
        <is>
          <t>2025-03-19</t>
        </is>
      </c>
    </row>
    <row r="185">
      <c r="A185" s="4" t="inlineStr">
        <is>
          <t>8AJE5FCL9LBRG2WF2</t>
        </is>
      </c>
      <c r="B185" s="4" t="n">
        <v>1555</v>
      </c>
      <c r="C185" s="5" t="inlineStr">
        <is>
          <t>Ayax</t>
        </is>
      </c>
      <c r="D185" s="5" t="inlineStr">
        <is>
          <t>Uruguay</t>
        </is>
      </c>
      <c r="E185" s="5" t="inlineStr">
        <is>
          <t>Fortuner</t>
        </is>
      </c>
      <c r="F185" s="4" t="n">
        <v>7</v>
      </c>
      <c r="G185" s="4" t="inlineStr">
        <is>
          <t>2025-01-06</t>
        </is>
      </c>
    </row>
    <row r="186">
      <c r="A186" s="2" t="inlineStr">
        <is>
          <t>8AJRSAU1861UAA1H5</t>
        </is>
      </c>
      <c r="B186" s="2" t="n">
        <v>3109</v>
      </c>
      <c r="C186" s="3" t="inlineStr">
        <is>
          <t>Ayax</t>
        </is>
      </c>
      <c r="D186" s="3" t="inlineStr">
        <is>
          <t>Uruguay</t>
        </is>
      </c>
      <c r="E186" s="3" t="inlineStr">
        <is>
          <t>Fortuner</t>
        </is>
      </c>
      <c r="F186" s="2" t="n">
        <v>2</v>
      </c>
      <c r="G186" s="2" t="inlineStr">
        <is>
          <t>2024-12-14</t>
        </is>
      </c>
    </row>
    <row r="187">
      <c r="A187" s="4" t="inlineStr">
        <is>
          <t>8AJWF4KK1WM69M6MG</t>
        </is>
      </c>
      <c r="B187" s="4" t="n">
        <v>3775</v>
      </c>
      <c r="C187" s="5" t="inlineStr">
        <is>
          <t>Toyosa</t>
        </is>
      </c>
      <c r="D187" s="5" t="inlineStr">
        <is>
          <t>Bolivia</t>
        </is>
      </c>
      <c r="E187" s="5" t="inlineStr">
        <is>
          <t>Hilux</t>
        </is>
      </c>
      <c r="F187" s="4" t="n">
        <v>4</v>
      </c>
      <c r="G187" s="4" t="inlineStr">
        <is>
          <t>2024-09-23</t>
        </is>
      </c>
    </row>
    <row r="188">
      <c r="A188" s="2" t="inlineStr">
        <is>
          <t>8AJGATE03NY2XWBD4</t>
        </is>
      </c>
      <c r="B188" s="2" t="n">
        <v>1333</v>
      </c>
      <c r="C188" s="3" t="inlineStr">
        <is>
          <t>TCL</t>
        </is>
      </c>
      <c r="D188" s="3" t="inlineStr">
        <is>
          <t>Chile</t>
        </is>
      </c>
      <c r="E188" s="3" t="inlineStr">
        <is>
          <t>Hiace</t>
        </is>
      </c>
      <c r="F188" s="2" t="n">
        <v>2</v>
      </c>
      <c r="G188" s="2" t="inlineStr">
        <is>
          <t>2024-12-31</t>
        </is>
      </c>
    </row>
    <row r="189">
      <c r="A189" s="4" t="inlineStr">
        <is>
          <t>8AJNVSFZXKYYJWE4D</t>
        </is>
      </c>
      <c r="B189" s="4" t="n">
        <v>5329</v>
      </c>
      <c r="C189" s="5" t="inlineStr">
        <is>
          <t>Ayax</t>
        </is>
      </c>
      <c r="D189" s="5" t="inlineStr">
        <is>
          <t>Uruguay</t>
        </is>
      </c>
      <c r="E189" s="5" t="inlineStr">
        <is>
          <t>Hilux</t>
        </is>
      </c>
      <c r="F189" s="4" t="n">
        <v>5</v>
      </c>
      <c r="G189" s="4" t="inlineStr">
        <is>
          <t>2024-07-29</t>
        </is>
      </c>
    </row>
    <row r="190">
      <c r="A190" s="2" t="inlineStr">
        <is>
          <t>8AJTX249MPFV7ZSHA</t>
        </is>
      </c>
      <c r="B190" s="2" t="n">
        <v>1555</v>
      </c>
      <c r="C190" s="3" t="inlineStr">
        <is>
          <t>TDB</t>
        </is>
      </c>
      <c r="D190" s="3" t="inlineStr">
        <is>
          <t>Brasil</t>
        </is>
      </c>
      <c r="E190" s="3" t="inlineStr">
        <is>
          <t>Hilux</t>
        </is>
      </c>
      <c r="F190" s="2" t="n">
        <v>8</v>
      </c>
      <c r="G190" s="2" t="inlineStr">
        <is>
          <t>2024-08-16</t>
        </is>
      </c>
    </row>
    <row r="191">
      <c r="A191" s="4" t="inlineStr">
        <is>
          <t>8AJ2C06YS9JB355MZ</t>
        </is>
      </c>
      <c r="B191" s="4" t="n">
        <v>3997</v>
      </c>
      <c r="C191" s="5" t="inlineStr">
        <is>
          <t>TDB</t>
        </is>
      </c>
      <c r="D191" s="5" t="inlineStr">
        <is>
          <t>Brasil</t>
        </is>
      </c>
      <c r="E191" s="5" t="inlineStr">
        <is>
          <t>Hiace</t>
        </is>
      </c>
      <c r="F191" s="4" t="n">
        <v>2</v>
      </c>
      <c r="G191" s="4" t="inlineStr">
        <is>
          <t>2024-07-19</t>
        </is>
      </c>
    </row>
    <row r="192">
      <c r="A192" s="2" t="inlineStr">
        <is>
          <t>8AJAEYL68J1NMDPS4</t>
        </is>
      </c>
      <c r="B192" s="2" t="n">
        <v>4330</v>
      </c>
      <c r="C192" s="3" t="inlineStr">
        <is>
          <t>TDB</t>
        </is>
      </c>
      <c r="D192" s="3" t="inlineStr">
        <is>
          <t>Brasil</t>
        </is>
      </c>
      <c r="E192" s="3" t="inlineStr">
        <is>
          <t>GR86</t>
        </is>
      </c>
      <c r="F192" s="2" t="n">
        <v>7</v>
      </c>
      <c r="G192" s="2" t="inlineStr">
        <is>
          <t>2024-08-25</t>
        </is>
      </c>
    </row>
    <row r="193">
      <c r="A193" s="4" t="inlineStr">
        <is>
          <t>8AJE094D7SVRX2X56</t>
        </is>
      </c>
      <c r="B193" s="4" t="n">
        <v>1888</v>
      </c>
      <c r="C193" s="5" t="inlineStr">
        <is>
          <t>TDB</t>
        </is>
      </c>
      <c r="D193" s="5" t="inlineStr">
        <is>
          <t>Brasil</t>
        </is>
      </c>
      <c r="E193" s="5" t="inlineStr">
        <is>
          <t>Corolla</t>
        </is>
      </c>
      <c r="F193" s="4" t="n">
        <v>8</v>
      </c>
      <c r="G193" s="4" t="inlineStr">
        <is>
          <t>2024-07-28</t>
        </is>
      </c>
    </row>
    <row r="194">
      <c r="A194" s="2" t="inlineStr">
        <is>
          <t>8AJRCYA5U10H85UZX</t>
        </is>
      </c>
      <c r="B194" s="2" t="n">
        <v>3997</v>
      </c>
      <c r="C194" s="3" t="inlineStr">
        <is>
          <t>Ayax</t>
        </is>
      </c>
      <c r="D194" s="3" t="inlineStr">
        <is>
          <t>Uruguay</t>
        </is>
      </c>
      <c r="E194" s="3" t="inlineStr">
        <is>
          <t>Hiace</t>
        </is>
      </c>
      <c r="F194" s="2" t="n">
        <v>4</v>
      </c>
      <c r="G194" s="2" t="inlineStr">
        <is>
          <t>2025-02-02</t>
        </is>
      </c>
    </row>
    <row r="195">
      <c r="A195" s="4" t="inlineStr">
        <is>
          <t>8AJYYE46XA7TSTF1L</t>
        </is>
      </c>
      <c r="B195" s="4" t="n">
        <v>3331</v>
      </c>
      <c r="C195" s="5" t="inlineStr">
        <is>
          <t>Toyotoshi</t>
        </is>
      </c>
      <c r="D195" s="5" t="inlineStr">
        <is>
          <t>Paraguay</t>
        </is>
      </c>
      <c r="E195" s="5" t="inlineStr">
        <is>
          <t>Corolla Cross</t>
        </is>
      </c>
      <c r="F195" s="4" t="n">
        <v>1</v>
      </c>
      <c r="G195" s="4" t="inlineStr">
        <is>
          <t>2025-02-15</t>
        </is>
      </c>
    </row>
    <row r="196">
      <c r="A196" s="2" t="inlineStr">
        <is>
          <t>8AJVN3CRVCTL91APB</t>
        </is>
      </c>
      <c r="B196" s="2" t="n">
        <v>4885</v>
      </c>
      <c r="C196" s="3" t="inlineStr">
        <is>
          <t>TCL</t>
        </is>
      </c>
      <c r="D196" s="3" t="inlineStr">
        <is>
          <t>Chile</t>
        </is>
      </c>
      <c r="E196" s="3" t="inlineStr">
        <is>
          <t>Hilux</t>
        </is>
      </c>
      <c r="F196" s="2" t="n">
        <v>2</v>
      </c>
      <c r="G196" s="2" t="inlineStr">
        <is>
          <t>2024-11-03</t>
        </is>
      </c>
    </row>
    <row r="197">
      <c r="A197" s="4" t="inlineStr">
        <is>
          <t>8AJVYSM434L2W0MRD</t>
        </is>
      </c>
      <c r="B197" s="4" t="n">
        <v>2554</v>
      </c>
      <c r="C197" s="5" t="inlineStr">
        <is>
          <t>Toyosa</t>
        </is>
      </c>
      <c r="D197" s="5" t="inlineStr">
        <is>
          <t>Bolivia</t>
        </is>
      </c>
      <c r="E197" s="5" t="inlineStr">
        <is>
          <t>Hilux</t>
        </is>
      </c>
      <c r="F197" s="4" t="n">
        <v>6</v>
      </c>
      <c r="G197" s="4" t="inlineStr">
        <is>
          <t>2024-11-29</t>
        </is>
      </c>
    </row>
    <row r="198">
      <c r="A198" s="2" t="inlineStr">
        <is>
          <t>8AJVND6T41PJGD5H4</t>
        </is>
      </c>
      <c r="B198" s="2" t="n">
        <v>2332</v>
      </c>
      <c r="C198" s="3" t="inlineStr">
        <is>
          <t>Toyotoshi</t>
        </is>
      </c>
      <c r="D198" s="3" t="inlineStr">
        <is>
          <t>Paraguay</t>
        </is>
      </c>
      <c r="E198" s="3" t="inlineStr">
        <is>
          <t>Hiace</t>
        </is>
      </c>
      <c r="F198" s="2" t="n">
        <v>6</v>
      </c>
      <c r="G198" s="2" t="inlineStr">
        <is>
          <t>2024-07-26</t>
        </is>
      </c>
    </row>
    <row r="199">
      <c r="A199" s="4" t="inlineStr">
        <is>
          <t>8AJBXZE6SWT8A1VRW</t>
        </is>
      </c>
      <c r="B199" s="4" t="n">
        <v>4552</v>
      </c>
      <c r="C199" s="5" t="inlineStr">
        <is>
          <t>Ayax</t>
        </is>
      </c>
      <c r="D199" s="5" t="inlineStr">
        <is>
          <t>Uruguay</t>
        </is>
      </c>
      <c r="E199" s="5" t="inlineStr">
        <is>
          <t>GR86</t>
        </is>
      </c>
      <c r="F199" s="4" t="n">
        <v>3</v>
      </c>
      <c r="G199" s="4" t="inlineStr">
        <is>
          <t>2025-03-24</t>
        </is>
      </c>
    </row>
    <row r="200">
      <c r="A200" s="2" t="inlineStr">
        <is>
          <t>8AJ1ENW6TN972K89R</t>
        </is>
      </c>
      <c r="B200" s="2" t="n">
        <v>1888</v>
      </c>
      <c r="C200" s="3" t="inlineStr">
        <is>
          <t>TCL</t>
        </is>
      </c>
      <c r="D200" s="3" t="inlineStr">
        <is>
          <t>Chile</t>
        </is>
      </c>
      <c r="E200" s="3" t="inlineStr">
        <is>
          <t>Fortuner</t>
        </is>
      </c>
      <c r="F200" s="2" t="n">
        <v>7</v>
      </c>
      <c r="G200" s="2" t="inlineStr">
        <is>
          <t>2025-02-18</t>
        </is>
      </c>
    </row>
    <row r="201">
      <c r="A201" s="4" t="inlineStr">
        <is>
          <t>8AJ4VL1VHG0Z7E09F</t>
        </is>
      </c>
      <c r="B201" s="4" t="n">
        <v>4774</v>
      </c>
      <c r="C201" s="5" t="inlineStr">
        <is>
          <t>Toyotoshi</t>
        </is>
      </c>
      <c r="D201" s="5" t="inlineStr">
        <is>
          <t>Paraguay</t>
        </is>
      </c>
      <c r="E201" s="5" t="inlineStr">
        <is>
          <t>Hiace</t>
        </is>
      </c>
      <c r="F201" s="4" t="n">
        <v>6</v>
      </c>
      <c r="G201" s="4" t="inlineStr">
        <is>
          <t>2024-07-30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6" customWidth="1" min="4" max="4"/>
    <col width="22" customWidth="1" min="5" max="5"/>
    <col width="12" customWidth="1" min="6" max="6"/>
    <col width="22" customWidth="1" min="7" max="7"/>
    <col width="34" customWidth="1" min="8" max="8"/>
    <col width="34" customWidth="1" min="9" max="9"/>
  </cols>
  <sheetData>
    <row r="1" ht="28" customHeight="1">
      <c r="A1" s="1" t="inlineStr">
        <is>
          <t>ID_Inspección</t>
        </is>
      </c>
      <c r="B1" s="1" t="inlineStr">
        <is>
          <t>ID_VIN</t>
        </is>
      </c>
      <c r="C1" s="1" t="inlineStr">
        <is>
          <t>Fecha de inspección</t>
        </is>
      </c>
      <c r="D1" s="1" t="inlineStr">
        <is>
          <t>Parte del vehículo</t>
        </is>
      </c>
      <c r="E1" s="1" t="inlineStr">
        <is>
          <t>Tipo de daño</t>
        </is>
      </c>
      <c r="F1" s="1" t="inlineStr">
        <is>
          <t>Cuadrante</t>
        </is>
      </c>
      <c r="G1" s="1" t="inlineStr">
        <is>
          <t>Comentario</t>
        </is>
      </c>
      <c r="H1" s="1" t="inlineStr">
        <is>
          <t>Foto del daño (ruta)</t>
        </is>
      </c>
      <c r="I1" s="1" t="inlineStr">
        <is>
          <t>Firma inspector (ruta)</t>
        </is>
      </c>
    </row>
    <row r="2">
      <c r="A2" s="2" t="inlineStr">
        <is>
          <t>89fbae8e</t>
        </is>
      </c>
      <c r="B2" s="2" t="inlineStr">
        <is>
          <t>8AJAKH1Z6CPAHTAGY</t>
        </is>
      </c>
      <c r="C2" s="2" t="inlineStr">
        <is>
          <t>2025-01-16</t>
        </is>
      </c>
      <c r="D2" s="3" t="inlineStr">
        <is>
          <t>Optica trasera derecha</t>
        </is>
      </c>
      <c r="E2" s="3" t="inlineStr">
        <is>
          <t>Rayado</t>
        </is>
      </c>
      <c r="F2" s="2" t="n">
        <v>8</v>
      </c>
      <c r="G2" s="3" t="inlineStr"/>
      <c r="H2" s="3" t="inlineStr">
        <is>
          <t>images/89fbae8e_foto.jpg</t>
        </is>
      </c>
      <c r="I2" s="3" t="inlineStr">
        <is>
          <t>images/89fbae8e_firma.png</t>
        </is>
      </c>
    </row>
    <row r="3">
      <c r="A3" s="4" t="inlineStr">
        <is>
          <t>02a3c244</t>
        </is>
      </c>
      <c r="B3" s="4" t="inlineStr">
        <is>
          <t>8AJAKH1Z6CPAHTAGY</t>
        </is>
      </c>
      <c r="C3" s="4" t="inlineStr">
        <is>
          <t>2025-01-16</t>
        </is>
      </c>
      <c r="D3" s="5" t="inlineStr">
        <is>
          <t>Pilar delantero izquierdo</t>
        </is>
      </c>
      <c r="E3" s="5" t="inlineStr">
        <is>
          <t>Rayado</t>
        </is>
      </c>
      <c r="F3" s="4" t="n">
        <v>4</v>
      </c>
      <c r="G3" s="5" t="inlineStr"/>
      <c r="H3" s="5" t="inlineStr">
        <is>
          <t>images/02a3c244_foto.jpg</t>
        </is>
      </c>
      <c r="I3" s="5" t="inlineStr">
        <is>
          <t>images/02a3c244_firma.png</t>
        </is>
      </c>
    </row>
    <row r="4">
      <c r="A4" s="2" t="inlineStr">
        <is>
          <t>0d1dbdb8</t>
        </is>
      </c>
      <c r="B4" s="2" t="inlineStr">
        <is>
          <t>8AJK52FPKH2DNMMJB</t>
        </is>
      </c>
      <c r="C4" s="2" t="inlineStr">
        <is>
          <t>2024-12-11</t>
        </is>
      </c>
      <c r="D4" s="3" t="inlineStr">
        <is>
          <t>Parrilla</t>
        </is>
      </c>
      <c r="E4" s="3" t="inlineStr">
        <is>
          <t>Desprendido</t>
        </is>
      </c>
      <c r="F4" s="2" t="n">
        <v>4</v>
      </c>
      <c r="G4" s="3" t="inlineStr">
        <is>
          <t>Requiere seguimiento</t>
        </is>
      </c>
      <c r="H4" s="3" t="inlineStr">
        <is>
          <t>images/0d1dbdb8_foto.jpg</t>
        </is>
      </c>
      <c r="I4" s="3" t="inlineStr">
        <is>
          <t>images/0d1dbdb8_firma.png</t>
        </is>
      </c>
    </row>
    <row r="5">
      <c r="A5" s="4" t="inlineStr">
        <is>
          <t>ae6ff580</t>
        </is>
      </c>
      <c r="B5" s="4" t="inlineStr">
        <is>
          <t>8AJK52FPKH2DNMMJB</t>
        </is>
      </c>
      <c r="C5" s="4" t="inlineStr">
        <is>
          <t>2024-12-11</t>
        </is>
      </c>
      <c r="D5" s="5" t="inlineStr">
        <is>
          <t>Espejo exterior derecho</t>
        </is>
      </c>
      <c r="E5" s="5" t="inlineStr">
        <is>
          <t>Filo de panel</t>
        </is>
      </c>
      <c r="F5" s="4" t="n">
        <v>9</v>
      </c>
      <c r="G5" s="5" t="inlineStr">
        <is>
          <t>Revisar</t>
        </is>
      </c>
      <c r="H5" s="5" t="inlineStr">
        <is>
          <t>images/ae6ff580_foto.jpg</t>
        </is>
      </c>
      <c r="I5" s="5" t="inlineStr">
        <is>
          <t>images/ae6ff580_firma.png</t>
        </is>
      </c>
    </row>
    <row r="6">
      <c r="A6" s="2" t="inlineStr">
        <is>
          <t>ebac89cf</t>
        </is>
      </c>
      <c r="B6" s="2" t="inlineStr">
        <is>
          <t>8AJV4X5W0BHKCHDKX</t>
        </is>
      </c>
      <c r="C6" s="2" t="inlineStr">
        <is>
          <t>2024-11-29</t>
        </is>
      </c>
      <c r="D6" s="3" t="inlineStr">
        <is>
          <t>Espejo exterior izquierdo</t>
        </is>
      </c>
      <c r="E6" s="3" t="inlineStr">
        <is>
          <t>Faltante</t>
        </is>
      </c>
      <c r="F6" s="2" t="n">
        <v>2</v>
      </c>
      <c r="G6" s="3" t="inlineStr">
        <is>
          <t>Requiere seguimiento</t>
        </is>
      </c>
      <c r="H6" s="3" t="inlineStr">
        <is>
          <t>images/ebac89cf_foto.jpg</t>
        </is>
      </c>
      <c r="I6" s="3" t="inlineStr">
        <is>
          <t>images/ebac89cf_firma.png</t>
        </is>
      </c>
    </row>
    <row r="7">
      <c r="A7" s="4" t="inlineStr">
        <is>
          <t>1fb10442</t>
        </is>
      </c>
      <c r="B7" s="4" t="inlineStr">
        <is>
          <t>8AJV4X5W0BHKCHDKX</t>
        </is>
      </c>
      <c r="C7" s="4" t="inlineStr">
        <is>
          <t>2024-11-29</t>
        </is>
      </c>
      <c r="D7" s="5" t="inlineStr">
        <is>
          <t>Pilar trasero derecho</t>
        </is>
      </c>
      <c r="E7" s="5" t="inlineStr">
        <is>
          <t>Fallo de pintura</t>
        </is>
      </c>
      <c r="F7" s="4" t="n">
        <v>0</v>
      </c>
      <c r="G7" s="5" t="inlineStr"/>
      <c r="H7" s="5" t="inlineStr">
        <is>
          <t>images/1fb10442_foto.jpg</t>
        </is>
      </c>
      <c r="I7" s="5" t="inlineStr">
        <is>
          <t>images/1fb10442_firma.png</t>
        </is>
      </c>
    </row>
    <row r="8">
      <c r="A8" s="2" t="inlineStr">
        <is>
          <t>e0e9cad4</t>
        </is>
      </c>
      <c r="B8" s="2" t="inlineStr">
        <is>
          <t>8AJZ0ZCXUJSJ7ZHL2</t>
        </is>
      </c>
      <c r="C8" s="2" t="inlineStr">
        <is>
          <t>2024-11-09</t>
        </is>
      </c>
      <c r="D8" s="3" t="inlineStr">
        <is>
          <t>Pilar delantero derecho</t>
        </is>
      </c>
      <c r="E8" s="3" t="inlineStr">
        <is>
          <t>Cortado</t>
        </is>
      </c>
      <c r="F8" s="2" t="n">
        <v>8</v>
      </c>
      <c r="G8" s="3" t="inlineStr"/>
      <c r="H8" s="3" t="inlineStr">
        <is>
          <t>images/e0e9cad4_foto.jpg</t>
        </is>
      </c>
      <c r="I8" s="3" t="inlineStr">
        <is>
          <t>images/e0e9cad4_firma.png</t>
        </is>
      </c>
    </row>
    <row r="9">
      <c r="A9" s="4" t="inlineStr">
        <is>
          <t>8f8c2865</t>
        </is>
      </c>
      <c r="B9" s="4" t="inlineStr">
        <is>
          <t>8AJTDBDX3PCN9U95A</t>
        </is>
      </c>
      <c r="C9" s="4" t="inlineStr">
        <is>
          <t>2024-11-22</t>
        </is>
      </c>
      <c r="D9" s="5" t="inlineStr">
        <is>
          <t>Pilar trasero izquierdo</t>
        </is>
      </c>
      <c r="E9" s="5" t="inlineStr">
        <is>
          <t>Filo de panel</t>
        </is>
      </c>
      <c r="F9" s="4" t="n">
        <v>5</v>
      </c>
      <c r="G9" s="5" t="inlineStr"/>
      <c r="H9" s="5" t="inlineStr">
        <is>
          <t>images/8f8c2865_foto.jpg</t>
        </is>
      </c>
      <c r="I9" s="5" t="inlineStr">
        <is>
          <t>images/8f8c2865_firma.png</t>
        </is>
      </c>
    </row>
    <row r="10">
      <c r="A10" s="2" t="inlineStr">
        <is>
          <t>53c8fdf0</t>
        </is>
      </c>
      <c r="B10" s="2" t="inlineStr">
        <is>
          <t>8AJTDBDX3PCN9U95A</t>
        </is>
      </c>
      <c r="C10" s="2" t="inlineStr">
        <is>
          <t>2024-11-22</t>
        </is>
      </c>
      <c r="D10" s="3" t="inlineStr">
        <is>
          <t>Puerta trasera derecha</t>
        </is>
      </c>
      <c r="E10" s="3" t="inlineStr">
        <is>
          <t>Roto</t>
        </is>
      </c>
      <c r="F10" s="2" t="n">
        <v>7</v>
      </c>
      <c r="G10" s="3" t="inlineStr"/>
      <c r="H10" s="3" t="inlineStr">
        <is>
          <t>images/53c8fdf0_foto.jpg</t>
        </is>
      </c>
      <c r="I10" s="3" t="inlineStr">
        <is>
          <t>images/53c8fdf0_firma.png</t>
        </is>
      </c>
    </row>
    <row r="11">
      <c r="A11" s="4" t="inlineStr">
        <is>
          <t>99fa5ef6</t>
        </is>
      </c>
      <c r="B11" s="4" t="inlineStr">
        <is>
          <t>8AJKFA0092TDX4TGN</t>
        </is>
      </c>
      <c r="C11" s="4" t="inlineStr">
        <is>
          <t>2024-11-13</t>
        </is>
      </c>
      <c r="D11" s="5" t="inlineStr">
        <is>
          <t>Estribo lateral izquierdo</t>
        </is>
      </c>
      <c r="E11" s="5" t="inlineStr">
        <is>
          <t>Fallo de pintura</t>
        </is>
      </c>
      <c r="F11" s="4" t="n">
        <v>0</v>
      </c>
      <c r="G11" s="5" t="inlineStr">
        <is>
          <t>Leve</t>
        </is>
      </c>
      <c r="H11" s="5" t="inlineStr">
        <is>
          <t>images/99fa5ef6_foto.jpg</t>
        </is>
      </c>
      <c r="I11" s="5" t="inlineStr">
        <is>
          <t>images/99fa5ef6_firma.png</t>
        </is>
      </c>
    </row>
    <row r="12">
      <c r="A12" s="2" t="inlineStr">
        <is>
          <t>d5c70e38</t>
        </is>
      </c>
      <c r="B12" s="2" t="inlineStr">
        <is>
          <t>8AJKFA0092TDX4TGN</t>
        </is>
      </c>
      <c r="C12" s="2" t="inlineStr">
        <is>
          <t>2024-11-13</t>
        </is>
      </c>
      <c r="D12" s="3" t="inlineStr">
        <is>
          <t>Guardabarro delantero izquierdo</t>
        </is>
      </c>
      <c r="E12" s="3" t="inlineStr">
        <is>
          <t>Mellado</t>
        </is>
      </c>
      <c r="F12" s="2" t="n">
        <v>8</v>
      </c>
      <c r="G12" s="3" t="inlineStr">
        <is>
          <t>Leve</t>
        </is>
      </c>
      <c r="H12" s="3" t="inlineStr">
        <is>
          <t>images/d5c70e38_foto.jpg</t>
        </is>
      </c>
      <c r="I12" s="3" t="inlineStr">
        <is>
          <t>images/d5c70e38_firma.png</t>
        </is>
      </c>
    </row>
    <row r="13">
      <c r="A13" s="4" t="inlineStr">
        <is>
          <t>01acd618</t>
        </is>
      </c>
      <c r="B13" s="4" t="inlineStr">
        <is>
          <t>8AJKFA0092TDX4TGN</t>
        </is>
      </c>
      <c r="C13" s="4" t="inlineStr">
        <is>
          <t>2024-11-13</t>
        </is>
      </c>
      <c r="D13" s="5" t="inlineStr">
        <is>
          <t>Puerta trasera izquierda</t>
        </is>
      </c>
      <c r="E13" s="5" t="inlineStr">
        <is>
          <t>Doblado</t>
        </is>
      </c>
      <c r="F13" s="4" t="n">
        <v>1</v>
      </c>
      <c r="G13" s="5" t="inlineStr">
        <is>
          <t>Requiere seguimiento</t>
        </is>
      </c>
      <c r="H13" s="5" t="inlineStr">
        <is>
          <t>images/01acd618_foto.jpg</t>
        </is>
      </c>
      <c r="I13" s="5" t="inlineStr">
        <is>
          <t>images/01acd618_firma.png</t>
        </is>
      </c>
    </row>
    <row r="14">
      <c r="A14" s="2" t="inlineStr">
        <is>
          <t>0b01241d</t>
        </is>
      </c>
      <c r="B14" s="2" t="inlineStr">
        <is>
          <t>8AJA754LB58CTC22E</t>
        </is>
      </c>
      <c r="C14" s="2" t="inlineStr">
        <is>
          <t>2024-10-14</t>
        </is>
      </c>
      <c r="D14" s="3" t="inlineStr">
        <is>
          <t>Interior caja pick-up (Hilux)</t>
        </is>
      </c>
      <c r="E14" s="3" t="inlineStr">
        <is>
          <t>Fallo de pintura</t>
        </is>
      </c>
      <c r="F14" s="2" t="n">
        <v>6</v>
      </c>
      <c r="G14" s="3" t="inlineStr">
        <is>
          <t>Revisar</t>
        </is>
      </c>
      <c r="H14" s="3" t="inlineStr">
        <is>
          <t>images/0b01241d_foto.jpg</t>
        </is>
      </c>
      <c r="I14" s="3" t="inlineStr">
        <is>
          <t>images/0b01241d_firma.png</t>
        </is>
      </c>
    </row>
    <row r="15">
      <c r="A15" s="4" t="inlineStr">
        <is>
          <t>765610b1</t>
        </is>
      </c>
      <c r="B15" s="4" t="inlineStr">
        <is>
          <t>8AJA754LB58CTC22E</t>
        </is>
      </c>
      <c r="C15" s="4" t="inlineStr">
        <is>
          <t>2024-10-14</t>
        </is>
      </c>
      <c r="D15" s="5" t="inlineStr">
        <is>
          <t>Zócalo lateral derecho</t>
        </is>
      </c>
      <c r="E15" s="5" t="inlineStr">
        <is>
          <t>Cortado</t>
        </is>
      </c>
      <c r="F15" s="4" t="n">
        <v>0</v>
      </c>
      <c r="G15" s="5" t="inlineStr">
        <is>
          <t>Requiere seguimiento</t>
        </is>
      </c>
      <c r="H15" s="5" t="inlineStr">
        <is>
          <t>images/765610b1_foto.jpg</t>
        </is>
      </c>
      <c r="I15" s="5" t="inlineStr">
        <is>
          <t>images/765610b1_firma.png</t>
        </is>
      </c>
    </row>
    <row r="16">
      <c r="A16" s="2" t="inlineStr">
        <is>
          <t>584a94e6</t>
        </is>
      </c>
      <c r="B16" s="2" t="inlineStr">
        <is>
          <t>8AJ5PGU1GL9YRUDHM</t>
        </is>
      </c>
      <c r="C16" s="2" t="inlineStr">
        <is>
          <t>2024-09-21</t>
        </is>
      </c>
      <c r="D16" s="3" t="inlineStr">
        <is>
          <t>Pilar delantero izquierdo</t>
        </is>
      </c>
      <c r="E16" s="3" t="inlineStr">
        <is>
          <t>Rayado</t>
        </is>
      </c>
      <c r="F16" s="2" t="n">
        <v>7</v>
      </c>
      <c r="G16" s="3" t="inlineStr"/>
      <c r="H16" s="3" t="inlineStr">
        <is>
          <t>images/584a94e6_foto.jpg</t>
        </is>
      </c>
      <c r="I16" s="3" t="inlineStr">
        <is>
          <t>images/584a94e6_firma.png</t>
        </is>
      </c>
    </row>
    <row r="17">
      <c r="A17" s="4" t="inlineStr">
        <is>
          <t>826c8f2a</t>
        </is>
      </c>
      <c r="B17" s="4" t="inlineStr">
        <is>
          <t>8AJ5PGU1GL9YRUDHM</t>
        </is>
      </c>
      <c r="C17" s="4" t="inlineStr">
        <is>
          <t>2024-09-21</t>
        </is>
      </c>
      <c r="D17" s="5" t="inlineStr">
        <is>
          <t>Interior caja pick-up (Hilux)</t>
        </is>
      </c>
      <c r="E17" s="5" t="inlineStr">
        <is>
          <t>Roto</t>
        </is>
      </c>
      <c r="F17" s="4" t="n">
        <v>0</v>
      </c>
      <c r="G17" s="5" t="inlineStr">
        <is>
          <t>Leve</t>
        </is>
      </c>
      <c r="H17" s="5" t="inlineStr">
        <is>
          <t>images/826c8f2a_foto.jpg</t>
        </is>
      </c>
      <c r="I17" s="5" t="inlineStr">
        <is>
          <t>images/826c8f2a_firma.png</t>
        </is>
      </c>
    </row>
    <row r="18">
      <c r="A18" s="2" t="inlineStr">
        <is>
          <t>2096813b</t>
        </is>
      </c>
      <c r="B18" s="2" t="inlineStr">
        <is>
          <t>8AJCXH65CHZHE7VS2</t>
        </is>
      </c>
      <c r="C18" s="2" t="inlineStr">
        <is>
          <t>2024-07-20</t>
        </is>
      </c>
      <c r="D18" s="3" t="inlineStr">
        <is>
          <t>Zócalo lateral derecho</t>
        </is>
      </c>
      <c r="E18" s="3" t="inlineStr">
        <is>
          <t>Roto</t>
        </is>
      </c>
      <c r="F18" s="2" t="n">
        <v>3</v>
      </c>
      <c r="G18" s="3" t="inlineStr">
        <is>
          <t>Revisar</t>
        </is>
      </c>
      <c r="H18" s="3" t="inlineStr">
        <is>
          <t>images/2096813b_foto.jpg</t>
        </is>
      </c>
      <c r="I18" s="3" t="inlineStr">
        <is>
          <t>images/2096813b_firma.png</t>
        </is>
      </c>
    </row>
    <row r="19">
      <c r="A19" s="4" t="inlineStr">
        <is>
          <t>ed22941a</t>
        </is>
      </c>
      <c r="B19" s="4" t="inlineStr">
        <is>
          <t>8AJCXH65CHZHE7VS2</t>
        </is>
      </c>
      <c r="C19" s="4" t="inlineStr">
        <is>
          <t>2024-07-20</t>
        </is>
      </c>
      <c r="D19" s="5" t="inlineStr">
        <is>
          <t>Llantas</t>
        </is>
      </c>
      <c r="E19" s="5" t="inlineStr">
        <is>
          <t>Rayado</t>
        </is>
      </c>
      <c r="F19" s="4" t="n">
        <v>8</v>
      </c>
      <c r="G19" s="5" t="inlineStr">
        <is>
          <t>Revisar</t>
        </is>
      </c>
      <c r="H19" s="5" t="inlineStr">
        <is>
          <t>images/ed22941a_foto.jpg</t>
        </is>
      </c>
      <c r="I19" s="5" t="inlineStr">
        <is>
          <t>images/ed22941a_firma.png</t>
        </is>
      </c>
    </row>
    <row r="20">
      <c r="A20" s="2" t="inlineStr">
        <is>
          <t>a1a439f5</t>
        </is>
      </c>
      <c r="B20" s="2" t="inlineStr">
        <is>
          <t>8AJCXH65CHZHE7VS2</t>
        </is>
      </c>
      <c r="C20" s="2" t="inlineStr">
        <is>
          <t>2024-07-20</t>
        </is>
      </c>
      <c r="D20" s="3" t="inlineStr">
        <is>
          <t>Puerta trasera derecha</t>
        </is>
      </c>
      <c r="E20" s="3" t="inlineStr">
        <is>
          <t>Filo de panel</t>
        </is>
      </c>
      <c r="F20" s="2" t="n">
        <v>1</v>
      </c>
      <c r="G20" s="3" t="inlineStr"/>
      <c r="H20" s="3" t="inlineStr">
        <is>
          <t>images/a1a439f5_foto.jpg</t>
        </is>
      </c>
      <c r="I20" s="3" t="inlineStr">
        <is>
          <t>images/a1a439f5_firma.png</t>
        </is>
      </c>
    </row>
    <row r="21">
      <c r="A21" s="4" t="inlineStr">
        <is>
          <t>e5794995</t>
        </is>
      </c>
      <c r="B21" s="4" t="inlineStr">
        <is>
          <t>8AJMP5BYYC13DGUEG</t>
        </is>
      </c>
      <c r="C21" s="4" t="inlineStr">
        <is>
          <t>2025-01-13</t>
        </is>
      </c>
      <c r="D21" s="5" t="inlineStr">
        <is>
          <t>Parabrisas delantero</t>
        </is>
      </c>
      <c r="E21" s="5" t="inlineStr">
        <is>
          <t>Doblado</t>
        </is>
      </c>
      <c r="F21" s="4" t="n">
        <v>2</v>
      </c>
      <c r="G21" s="5" t="inlineStr"/>
      <c r="H21" s="5" t="inlineStr">
        <is>
          <t>images/e5794995_foto.jpg</t>
        </is>
      </c>
      <c r="I21" s="5" t="inlineStr">
        <is>
          <t>images/e5794995_firma.png</t>
        </is>
      </c>
    </row>
    <row r="22">
      <c r="A22" s="2" t="inlineStr">
        <is>
          <t>cba45a57</t>
        </is>
      </c>
      <c r="B22" s="2" t="inlineStr">
        <is>
          <t>8AJDYUAD1HPS56FAN</t>
        </is>
      </c>
      <c r="C22" s="2" t="inlineStr">
        <is>
          <t>2025-03-12</t>
        </is>
      </c>
      <c r="D22" s="3" t="inlineStr">
        <is>
          <t>Optica trasera izquierda</t>
        </is>
      </c>
      <c r="E22" s="3" t="inlineStr">
        <is>
          <t>Roto</t>
        </is>
      </c>
      <c r="F22" s="2" t="n">
        <v>4</v>
      </c>
      <c r="G22" s="3" t="inlineStr">
        <is>
          <t>Revisar</t>
        </is>
      </c>
      <c r="H22" s="3" t="inlineStr">
        <is>
          <t>images/cba45a57_foto.jpg</t>
        </is>
      </c>
      <c r="I22" s="3" t="inlineStr">
        <is>
          <t>images/cba45a57_firma.png</t>
        </is>
      </c>
    </row>
    <row r="23">
      <c r="A23" s="4" t="inlineStr">
        <is>
          <t>29dd284e</t>
        </is>
      </c>
      <c r="B23" s="4" t="inlineStr">
        <is>
          <t>8AJFK8WU1BWT5F8CG</t>
        </is>
      </c>
      <c r="C23" s="4" t="inlineStr">
        <is>
          <t>2024-12-24</t>
        </is>
      </c>
      <c r="D23" s="5" t="inlineStr">
        <is>
          <t>Guardabarro delantero derecho</t>
        </is>
      </c>
      <c r="E23" s="5" t="inlineStr">
        <is>
          <t>Abollado</t>
        </is>
      </c>
      <c r="F23" s="4" t="n">
        <v>0</v>
      </c>
      <c r="G23" s="5" t="inlineStr">
        <is>
          <t>Leve</t>
        </is>
      </c>
      <c r="H23" s="5" t="inlineStr">
        <is>
          <t>images/29dd284e_foto.jpg</t>
        </is>
      </c>
      <c r="I23" s="5" t="inlineStr">
        <is>
          <t>images/29dd284e_firma.png</t>
        </is>
      </c>
    </row>
    <row r="24">
      <c r="A24" s="2" t="inlineStr">
        <is>
          <t>d9c304e8</t>
        </is>
      </c>
      <c r="B24" s="2" t="inlineStr">
        <is>
          <t>8AJ8VWBCYVLJZLJEY</t>
        </is>
      </c>
      <c r="C24" s="2" t="inlineStr">
        <is>
          <t>2024-06-05</t>
        </is>
      </c>
      <c r="D24" s="3" t="inlineStr">
        <is>
          <t>Puerta delantera izquierda</t>
        </is>
      </c>
      <c r="E24" s="3" t="inlineStr">
        <is>
          <t>Mellado</t>
        </is>
      </c>
      <c r="F24" s="2" t="n">
        <v>5</v>
      </c>
      <c r="G24" s="3" t="inlineStr">
        <is>
          <t>Revisar</t>
        </is>
      </c>
      <c r="H24" s="3" t="inlineStr">
        <is>
          <t>images/d9c304e8_foto.jpg</t>
        </is>
      </c>
      <c r="I24" s="3" t="inlineStr">
        <is>
          <t>images/d9c304e8_firma.png</t>
        </is>
      </c>
    </row>
    <row r="25">
      <c r="A25" s="4" t="inlineStr">
        <is>
          <t>b47868ad</t>
        </is>
      </c>
      <c r="B25" s="4" t="inlineStr">
        <is>
          <t>8AJJ61FKGMZ5TJ6BX</t>
        </is>
      </c>
      <c r="C25" s="4" t="inlineStr">
        <is>
          <t>2024-11-18</t>
        </is>
      </c>
      <c r="D25" s="5" t="inlineStr">
        <is>
          <t>Pilar delantero derecho</t>
        </is>
      </c>
      <c r="E25" s="5" t="inlineStr">
        <is>
          <t>Cortado</t>
        </is>
      </c>
      <c r="F25" s="4" t="n">
        <v>2</v>
      </c>
      <c r="G25" s="5" t="inlineStr">
        <is>
          <t>Leve</t>
        </is>
      </c>
      <c r="H25" s="5" t="inlineStr">
        <is>
          <t>images/b47868ad_foto.jpg</t>
        </is>
      </c>
      <c r="I25" s="5" t="inlineStr">
        <is>
          <t>images/b47868ad_firma.png</t>
        </is>
      </c>
    </row>
    <row r="26">
      <c r="A26" s="2" t="inlineStr">
        <is>
          <t>2299d2bf</t>
        </is>
      </c>
      <c r="B26" s="2" t="inlineStr">
        <is>
          <t>8AJJ61FKGMZ5TJ6BX</t>
        </is>
      </c>
      <c r="C26" s="2" t="inlineStr">
        <is>
          <t>2024-11-18</t>
        </is>
      </c>
      <c r="D26" s="3" t="inlineStr">
        <is>
          <t>Paragolpe trasero</t>
        </is>
      </c>
      <c r="E26" s="3" t="inlineStr">
        <is>
          <t>Filo de panel</t>
        </is>
      </c>
      <c r="F26" s="2" t="n">
        <v>7</v>
      </c>
      <c r="G26" s="3" t="inlineStr"/>
      <c r="H26" s="3" t="inlineStr">
        <is>
          <t>images/2299d2bf_foto.jpg</t>
        </is>
      </c>
      <c r="I26" s="3" t="inlineStr">
        <is>
          <t>images/2299d2bf_firma.png</t>
        </is>
      </c>
    </row>
    <row r="27">
      <c r="A27" s="4" t="inlineStr">
        <is>
          <t>03e5770f</t>
        </is>
      </c>
      <c r="B27" s="4" t="inlineStr">
        <is>
          <t>8AJZZMV5917HF3FPF</t>
        </is>
      </c>
      <c r="C27" s="4" t="inlineStr">
        <is>
          <t>2024-10-06</t>
        </is>
      </c>
      <c r="D27" s="5" t="inlineStr">
        <is>
          <t>Parabrisas delantero</t>
        </is>
      </c>
      <c r="E27" s="5" t="inlineStr">
        <is>
          <t>Abollado</t>
        </is>
      </c>
      <c r="F27" s="4" t="n">
        <v>8</v>
      </c>
      <c r="G27" s="5" t="inlineStr">
        <is>
          <t>Requiere seguimiento</t>
        </is>
      </c>
      <c r="H27" s="5" t="inlineStr">
        <is>
          <t>images/03e5770f_foto.jpg</t>
        </is>
      </c>
      <c r="I27" s="5" t="inlineStr">
        <is>
          <t>images/03e5770f_firma.png</t>
        </is>
      </c>
    </row>
    <row r="28">
      <c r="A28" s="2" t="inlineStr">
        <is>
          <t>d482a5ad</t>
        </is>
      </c>
      <c r="B28" s="2" t="inlineStr">
        <is>
          <t>8AJF0NBSG7M45HYPK</t>
        </is>
      </c>
      <c r="C28" s="2" t="inlineStr">
        <is>
          <t>2024-11-27</t>
        </is>
      </c>
      <c r="D28" s="3" t="inlineStr">
        <is>
          <t>Estribo lateral derecho</t>
        </is>
      </c>
      <c r="E28" s="3" t="inlineStr">
        <is>
          <t>Fallo de pintura</t>
        </is>
      </c>
      <c r="F28" s="2" t="n">
        <v>6</v>
      </c>
      <c r="G28" s="3" t="inlineStr"/>
      <c r="H28" s="3" t="inlineStr">
        <is>
          <t>images/d482a5ad_foto.jpg</t>
        </is>
      </c>
      <c r="I28" s="3" t="inlineStr">
        <is>
          <t>images/d482a5ad_firma.png</t>
        </is>
      </c>
    </row>
    <row r="29">
      <c r="A29" s="4" t="inlineStr">
        <is>
          <t>85d77982</t>
        </is>
      </c>
      <c r="B29" s="4" t="inlineStr">
        <is>
          <t>8AJF0NBSG7M45HYPK</t>
        </is>
      </c>
      <c r="C29" s="4" t="inlineStr">
        <is>
          <t>2024-11-27</t>
        </is>
      </c>
      <c r="D29" s="5" t="inlineStr">
        <is>
          <t>Guardabarro trasero izquierdo</t>
        </is>
      </c>
      <c r="E29" s="5" t="inlineStr">
        <is>
          <t>Filo de panel</t>
        </is>
      </c>
      <c r="F29" s="4" t="n">
        <v>1</v>
      </c>
      <c r="G29" s="5" t="inlineStr">
        <is>
          <t>Leve</t>
        </is>
      </c>
      <c r="H29" s="5" t="inlineStr">
        <is>
          <t>images/85d77982_foto.jpg</t>
        </is>
      </c>
      <c r="I29" s="5" t="inlineStr">
        <is>
          <t>images/85d77982_firma.png</t>
        </is>
      </c>
    </row>
    <row r="30">
      <c r="A30" s="2" t="inlineStr">
        <is>
          <t>325b13cb</t>
        </is>
      </c>
      <c r="B30" s="2" t="inlineStr">
        <is>
          <t>8AJP9U7D9F8JDR1LX</t>
        </is>
      </c>
      <c r="C30" s="2" t="inlineStr">
        <is>
          <t>2025-03-23</t>
        </is>
      </c>
      <c r="D30" s="3" t="inlineStr">
        <is>
          <t>Techo</t>
        </is>
      </c>
      <c r="E30" s="3" t="inlineStr">
        <is>
          <t>Faltante</t>
        </is>
      </c>
      <c r="F30" s="2" t="n">
        <v>7</v>
      </c>
      <c r="G30" s="3" t="inlineStr"/>
      <c r="H30" s="3" t="inlineStr">
        <is>
          <t>images/325b13cb_foto.jpg</t>
        </is>
      </c>
      <c r="I30" s="3" t="inlineStr">
        <is>
          <t>images/325b13cb_firma.png</t>
        </is>
      </c>
    </row>
    <row r="31">
      <c r="A31" s="4" t="inlineStr">
        <is>
          <t>a632928e</t>
        </is>
      </c>
      <c r="B31" s="4" t="inlineStr">
        <is>
          <t>8AJJ0A7U01ZNCYLL4</t>
        </is>
      </c>
      <c r="C31" s="4" t="inlineStr">
        <is>
          <t>2024-12-27</t>
        </is>
      </c>
      <c r="D31" s="5" t="inlineStr">
        <is>
          <t>Guardabarro trasero derecho</t>
        </is>
      </c>
      <c r="E31" s="5" t="inlineStr">
        <is>
          <t>Rayado</t>
        </is>
      </c>
      <c r="F31" s="4" t="n">
        <v>2</v>
      </c>
      <c r="G31" s="5" t="inlineStr"/>
      <c r="H31" s="5" t="inlineStr">
        <is>
          <t>images/a632928e_foto.jpg</t>
        </is>
      </c>
      <c r="I31" s="5" t="inlineStr">
        <is>
          <t>images/a632928e_firma.png</t>
        </is>
      </c>
    </row>
    <row r="32">
      <c r="A32" s="2" t="inlineStr">
        <is>
          <t>86faebdf</t>
        </is>
      </c>
      <c r="B32" s="2" t="inlineStr">
        <is>
          <t>8AJPKEP8Z6XKVAKRW</t>
        </is>
      </c>
      <c r="C32" s="2" t="inlineStr">
        <is>
          <t>2025-01-13</t>
        </is>
      </c>
      <c r="D32" s="3" t="inlineStr">
        <is>
          <t>Capot</t>
        </is>
      </c>
      <c r="E32" s="3" t="inlineStr">
        <is>
          <t>Faltante</t>
        </is>
      </c>
      <c r="F32" s="2" t="n">
        <v>9</v>
      </c>
      <c r="G32" s="3" t="inlineStr">
        <is>
          <t>Revisar</t>
        </is>
      </c>
      <c r="H32" s="3" t="inlineStr">
        <is>
          <t>images/86faebdf_foto.jpg</t>
        </is>
      </c>
      <c r="I32" s="3" t="inlineStr">
        <is>
          <t>images/86faebdf_firma.png</t>
        </is>
      </c>
    </row>
    <row r="33">
      <c r="A33" s="4" t="inlineStr">
        <is>
          <t>d2d9cd2a</t>
        </is>
      </c>
      <c r="B33" s="4" t="inlineStr">
        <is>
          <t>8AJPKEP8Z6XKVAKRW</t>
        </is>
      </c>
      <c r="C33" s="4" t="inlineStr">
        <is>
          <t>2025-01-13</t>
        </is>
      </c>
      <c r="D33" s="5" t="inlineStr">
        <is>
          <t>Espejo exterior derecho</t>
        </is>
      </c>
      <c r="E33" s="5" t="inlineStr">
        <is>
          <t>Mellado</t>
        </is>
      </c>
      <c r="F33" s="4" t="n">
        <v>5</v>
      </c>
      <c r="G33" s="5" t="inlineStr">
        <is>
          <t>Revisar</t>
        </is>
      </c>
      <c r="H33" s="5" t="inlineStr">
        <is>
          <t>images/d2d9cd2a_foto.jpg</t>
        </is>
      </c>
      <c r="I33" s="5" t="inlineStr">
        <is>
          <t>images/d2d9cd2a_firma.png</t>
        </is>
      </c>
    </row>
    <row r="34">
      <c r="A34" s="2" t="inlineStr">
        <is>
          <t>916208ea</t>
        </is>
      </c>
      <c r="B34" s="2" t="inlineStr">
        <is>
          <t>8AJPKEP8Z6XKVAKRW</t>
        </is>
      </c>
      <c r="C34" s="2" t="inlineStr">
        <is>
          <t>2025-01-13</t>
        </is>
      </c>
      <c r="D34" s="3" t="inlineStr">
        <is>
          <t>Pilar delantero izquierdo</t>
        </is>
      </c>
      <c r="E34" s="3" t="inlineStr">
        <is>
          <t>Mellado</t>
        </is>
      </c>
      <c r="F34" s="2" t="n">
        <v>9</v>
      </c>
      <c r="G34" s="3" t="inlineStr"/>
      <c r="H34" s="3" t="inlineStr">
        <is>
          <t>images/916208ea_foto.jpg</t>
        </is>
      </c>
      <c r="I34" s="3" t="inlineStr">
        <is>
          <t>images/916208ea_firma.png</t>
        </is>
      </c>
    </row>
    <row r="35">
      <c r="A35" s="4" t="inlineStr">
        <is>
          <t>9e8c1ae8</t>
        </is>
      </c>
      <c r="B35" s="4" t="inlineStr">
        <is>
          <t>8AJPXGZTJYA12DRF8</t>
        </is>
      </c>
      <c r="C35" s="4" t="inlineStr">
        <is>
          <t>2025-03-13</t>
        </is>
      </c>
      <c r="D35" s="5" t="inlineStr">
        <is>
          <t>Paragolpe delantero</t>
        </is>
      </c>
      <c r="E35" s="5" t="inlineStr">
        <is>
          <t>Doblado</t>
        </is>
      </c>
      <c r="F35" s="4" t="n">
        <v>8</v>
      </c>
      <c r="G35" s="5" t="inlineStr">
        <is>
          <t>Revisar</t>
        </is>
      </c>
      <c r="H35" s="5" t="inlineStr">
        <is>
          <t>images/9e8c1ae8_foto.jpg</t>
        </is>
      </c>
      <c r="I35" s="5" t="inlineStr">
        <is>
          <t>images/9e8c1ae8_firma.png</t>
        </is>
      </c>
    </row>
    <row r="36">
      <c r="A36" s="2" t="inlineStr">
        <is>
          <t>5083cc69</t>
        </is>
      </c>
      <c r="B36" s="2" t="inlineStr">
        <is>
          <t>8AJPXGZTJYA12DRF8</t>
        </is>
      </c>
      <c r="C36" s="2" t="inlineStr">
        <is>
          <t>2025-03-13</t>
        </is>
      </c>
      <c r="D36" s="3" t="inlineStr">
        <is>
          <t>Zócalo lateral derecho</t>
        </is>
      </c>
      <c r="E36" s="3" t="inlineStr">
        <is>
          <t>Cortado</t>
        </is>
      </c>
      <c r="F36" s="2" t="n">
        <v>1</v>
      </c>
      <c r="G36" s="3" t="inlineStr">
        <is>
          <t>Revisar</t>
        </is>
      </c>
      <c r="H36" s="3" t="inlineStr">
        <is>
          <t>images/5083cc69_foto.jpg</t>
        </is>
      </c>
      <c r="I36" s="3" t="inlineStr">
        <is>
          <t>images/5083cc69_firma.png</t>
        </is>
      </c>
    </row>
    <row r="37">
      <c r="A37" s="4" t="inlineStr">
        <is>
          <t>273d4e63</t>
        </is>
      </c>
      <c r="B37" s="4" t="inlineStr">
        <is>
          <t>8AJPXGZTJYA12DRF8</t>
        </is>
      </c>
      <c r="C37" s="4" t="inlineStr">
        <is>
          <t>2025-03-13</t>
        </is>
      </c>
      <c r="D37" s="5" t="inlineStr">
        <is>
          <t>Puerta trasera izquierda</t>
        </is>
      </c>
      <c r="E37" s="5" t="inlineStr">
        <is>
          <t>Rayado</t>
        </is>
      </c>
      <c r="F37" s="4" t="n">
        <v>9</v>
      </c>
      <c r="G37" s="5" t="inlineStr">
        <is>
          <t>Leve</t>
        </is>
      </c>
      <c r="H37" s="5" t="inlineStr">
        <is>
          <t>images/273d4e63_foto.jpg</t>
        </is>
      </c>
      <c r="I37" s="5" t="inlineStr">
        <is>
          <t>images/273d4e63_firma.png</t>
        </is>
      </c>
    </row>
    <row r="38">
      <c r="A38" s="2" t="inlineStr">
        <is>
          <t>b552a4d6</t>
        </is>
      </c>
      <c r="B38" s="2" t="inlineStr">
        <is>
          <t>8AJPUPGP6WZ52NAM1</t>
        </is>
      </c>
      <c r="C38" s="2" t="inlineStr">
        <is>
          <t>2025-02-05</t>
        </is>
      </c>
      <c r="D38" s="3" t="inlineStr">
        <is>
          <t>Optica delantera derecha</t>
        </is>
      </c>
      <c r="E38" s="3" t="inlineStr">
        <is>
          <t>Cortado</t>
        </is>
      </c>
      <c r="F38" s="2" t="n">
        <v>4</v>
      </c>
      <c r="G38" s="3" t="inlineStr">
        <is>
          <t>Requiere seguimiento</t>
        </is>
      </c>
      <c r="H38" s="3" t="inlineStr">
        <is>
          <t>images/b552a4d6_foto.jpg</t>
        </is>
      </c>
      <c r="I38" s="3" t="inlineStr">
        <is>
          <t>images/b552a4d6_firma.png</t>
        </is>
      </c>
    </row>
    <row r="39">
      <c r="A39" s="4" t="inlineStr">
        <is>
          <t>6388287f</t>
        </is>
      </c>
      <c r="B39" s="4" t="inlineStr">
        <is>
          <t>8AJPUPGP6WZ52NAM1</t>
        </is>
      </c>
      <c r="C39" s="4" t="inlineStr">
        <is>
          <t>2025-02-05</t>
        </is>
      </c>
      <c r="D39" s="5" t="inlineStr">
        <is>
          <t>Llantas</t>
        </is>
      </c>
      <c r="E39" s="5" t="inlineStr">
        <is>
          <t>Roto</t>
        </is>
      </c>
      <c r="F39" s="4" t="n">
        <v>6</v>
      </c>
      <c r="G39" s="5" t="inlineStr">
        <is>
          <t>Requiere seguimiento</t>
        </is>
      </c>
      <c r="H39" s="5" t="inlineStr">
        <is>
          <t>images/6388287f_foto.jpg</t>
        </is>
      </c>
      <c r="I39" s="5" t="inlineStr">
        <is>
          <t>images/6388287f_firma.png</t>
        </is>
      </c>
    </row>
    <row r="40">
      <c r="A40" s="2" t="inlineStr">
        <is>
          <t>13cf18cc</t>
        </is>
      </c>
      <c r="B40" s="2" t="inlineStr">
        <is>
          <t>8AJJLSM6K8P4S1B8H</t>
        </is>
      </c>
      <c r="C40" s="2" t="inlineStr">
        <is>
          <t>2024-06-16</t>
        </is>
      </c>
      <c r="D40" s="3" t="inlineStr">
        <is>
          <t>Puerta delantera derecha</t>
        </is>
      </c>
      <c r="E40" s="3" t="inlineStr">
        <is>
          <t>Rayado</t>
        </is>
      </c>
      <c r="F40" s="2" t="n">
        <v>2</v>
      </c>
      <c r="G40" s="3" t="inlineStr">
        <is>
          <t>Revisar</t>
        </is>
      </c>
      <c r="H40" s="3" t="inlineStr">
        <is>
          <t>images/13cf18cc_foto.jpg</t>
        </is>
      </c>
      <c r="I40" s="3" t="inlineStr">
        <is>
          <t>images/13cf18cc_firma.png</t>
        </is>
      </c>
    </row>
    <row r="41">
      <c r="A41" s="4" t="inlineStr">
        <is>
          <t>f012e613</t>
        </is>
      </c>
      <c r="B41" s="4" t="inlineStr">
        <is>
          <t>8AJJLSM6K8P4S1B8H</t>
        </is>
      </c>
      <c r="C41" s="4" t="inlineStr">
        <is>
          <t>2024-06-16</t>
        </is>
      </c>
      <c r="D41" s="5" t="inlineStr">
        <is>
          <t>Guardabarro delantero derecho</t>
        </is>
      </c>
      <c r="E41" s="5" t="inlineStr">
        <is>
          <t>Cortado</t>
        </is>
      </c>
      <c r="F41" s="4" t="n">
        <v>0</v>
      </c>
      <c r="G41" s="5" t="inlineStr">
        <is>
          <t>Requiere seguimiento</t>
        </is>
      </c>
      <c r="H41" s="5" t="inlineStr">
        <is>
          <t>images/f012e613_foto.jpg</t>
        </is>
      </c>
      <c r="I41" s="5" t="inlineStr">
        <is>
          <t>images/f012e613_firma.png</t>
        </is>
      </c>
    </row>
    <row r="42">
      <c r="A42" s="2" t="inlineStr">
        <is>
          <t>6f98b9fd</t>
        </is>
      </c>
      <c r="B42" s="2" t="inlineStr">
        <is>
          <t>8AJJLSM6K8P4S1B8H</t>
        </is>
      </c>
      <c r="C42" s="2" t="inlineStr">
        <is>
          <t>2024-06-16</t>
        </is>
      </c>
      <c r="D42" s="3" t="inlineStr">
        <is>
          <t>Puerta delantera izquierda</t>
        </is>
      </c>
      <c r="E42" s="3" t="inlineStr">
        <is>
          <t>Faltante</t>
        </is>
      </c>
      <c r="F42" s="2" t="n">
        <v>7</v>
      </c>
      <c r="G42" s="3" t="inlineStr"/>
      <c r="H42" s="3" t="inlineStr">
        <is>
          <t>images/6f98b9fd_foto.jpg</t>
        </is>
      </c>
      <c r="I42" s="3" t="inlineStr">
        <is>
          <t>images/6f98b9fd_firma.png</t>
        </is>
      </c>
    </row>
    <row r="43">
      <c r="A43" s="4" t="inlineStr">
        <is>
          <t>c4098320</t>
        </is>
      </c>
      <c r="B43" s="4" t="inlineStr">
        <is>
          <t>8AJZ8P0CZXD25WD92</t>
        </is>
      </c>
      <c r="C43" s="4" t="inlineStr">
        <is>
          <t>2024-12-07</t>
        </is>
      </c>
      <c r="D43" s="5" t="inlineStr">
        <is>
          <t>Parrilla</t>
        </is>
      </c>
      <c r="E43" s="5" t="inlineStr">
        <is>
          <t>Rayado</t>
        </is>
      </c>
      <c r="F43" s="4" t="n">
        <v>2</v>
      </c>
      <c r="G43" s="5" t="inlineStr"/>
      <c r="H43" s="5" t="inlineStr">
        <is>
          <t>images/c4098320_foto.jpg</t>
        </is>
      </c>
      <c r="I43" s="5" t="inlineStr">
        <is>
          <t>images/c4098320_firma.png</t>
        </is>
      </c>
    </row>
    <row r="44">
      <c r="A44" s="2" t="inlineStr">
        <is>
          <t>fc5698b1</t>
        </is>
      </c>
      <c r="B44" s="2" t="inlineStr">
        <is>
          <t>8AJZ8P0CZXD25WD92</t>
        </is>
      </c>
      <c r="C44" s="2" t="inlineStr">
        <is>
          <t>2024-12-07</t>
        </is>
      </c>
      <c r="D44" s="3" t="inlineStr">
        <is>
          <t>Guardabarro delantero derecho</t>
        </is>
      </c>
      <c r="E44" s="3" t="inlineStr">
        <is>
          <t>Desprendido</t>
        </is>
      </c>
      <c r="F44" s="2" t="n">
        <v>4</v>
      </c>
      <c r="G44" s="3" t="inlineStr">
        <is>
          <t>Requiere seguimiento</t>
        </is>
      </c>
      <c r="H44" s="3" t="inlineStr">
        <is>
          <t>images/fc5698b1_foto.jpg</t>
        </is>
      </c>
      <c r="I44" s="3" t="inlineStr">
        <is>
          <t>images/fc5698b1_firma.png</t>
        </is>
      </c>
    </row>
    <row r="45">
      <c r="A45" s="4" t="inlineStr">
        <is>
          <t>e5f493e9</t>
        </is>
      </c>
      <c r="B45" s="4" t="inlineStr">
        <is>
          <t>8AJTM54D8X40R18J3</t>
        </is>
      </c>
      <c r="C45" s="4" t="inlineStr">
        <is>
          <t>2025-01-25</t>
        </is>
      </c>
      <c r="D45" s="5" t="inlineStr">
        <is>
          <t>Espejo exterior derecho</t>
        </is>
      </c>
      <c r="E45" s="5" t="inlineStr">
        <is>
          <t>Mellado</t>
        </is>
      </c>
      <c r="F45" s="4" t="n">
        <v>6</v>
      </c>
      <c r="G45" s="5" t="inlineStr">
        <is>
          <t>Leve</t>
        </is>
      </c>
      <c r="H45" s="5" t="inlineStr">
        <is>
          <t>images/e5f493e9_foto.jpg</t>
        </is>
      </c>
      <c r="I45" s="5" t="inlineStr">
        <is>
          <t>images/e5f493e9_firma.png</t>
        </is>
      </c>
    </row>
    <row r="46">
      <c r="A46" s="2" t="inlineStr">
        <is>
          <t>114fcfed</t>
        </is>
      </c>
      <c r="B46" s="2" t="inlineStr">
        <is>
          <t>8AJTM54D8X40R18J3</t>
        </is>
      </c>
      <c r="C46" s="2" t="inlineStr">
        <is>
          <t>2025-01-25</t>
        </is>
      </c>
      <c r="D46" s="3" t="inlineStr">
        <is>
          <t>Llantas</t>
        </is>
      </c>
      <c r="E46" s="3" t="inlineStr">
        <is>
          <t>Fallo de pintura</t>
        </is>
      </c>
      <c r="F46" s="2" t="n">
        <v>7</v>
      </c>
      <c r="G46" s="3" t="inlineStr">
        <is>
          <t>Revisar</t>
        </is>
      </c>
      <c r="H46" s="3" t="inlineStr">
        <is>
          <t>images/114fcfed_foto.jpg</t>
        </is>
      </c>
      <c r="I46" s="3" t="inlineStr">
        <is>
          <t>images/114fcfed_firma.png</t>
        </is>
      </c>
    </row>
    <row r="47">
      <c r="A47" s="4" t="inlineStr">
        <is>
          <t>ccf77901</t>
        </is>
      </c>
      <c r="B47" s="4" t="inlineStr">
        <is>
          <t>8AJ4WLJ7KR1VZMTLT</t>
        </is>
      </c>
      <c r="C47" s="4" t="inlineStr">
        <is>
          <t>2024-11-22</t>
        </is>
      </c>
      <c r="D47" s="5" t="inlineStr">
        <is>
          <t>Guardabarro delantero derecho</t>
        </is>
      </c>
      <c r="E47" s="5" t="inlineStr">
        <is>
          <t>Doblado</t>
        </is>
      </c>
      <c r="F47" s="4" t="n">
        <v>3</v>
      </c>
      <c r="G47" s="5" t="inlineStr">
        <is>
          <t>Requiere seguimiento</t>
        </is>
      </c>
      <c r="H47" s="5" t="inlineStr">
        <is>
          <t>images/ccf77901_foto.jpg</t>
        </is>
      </c>
      <c r="I47" s="5" t="inlineStr">
        <is>
          <t>images/ccf77901_firma.png</t>
        </is>
      </c>
    </row>
    <row r="48">
      <c r="A48" s="2" t="inlineStr">
        <is>
          <t>c658b446</t>
        </is>
      </c>
      <c r="B48" s="2" t="inlineStr">
        <is>
          <t>8AJ60KA8C0T2ZYT3D</t>
        </is>
      </c>
      <c r="C48" s="2" t="inlineStr">
        <is>
          <t>2024-11-04</t>
        </is>
      </c>
      <c r="D48" s="3" t="inlineStr">
        <is>
          <t>Zócalo lateral derecho</t>
        </is>
      </c>
      <c r="E48" s="3" t="inlineStr">
        <is>
          <t>Roto</t>
        </is>
      </c>
      <c r="F48" s="2" t="n">
        <v>1</v>
      </c>
      <c r="G48" s="3" t="inlineStr">
        <is>
          <t>Leve</t>
        </is>
      </c>
      <c r="H48" s="3" t="inlineStr">
        <is>
          <t>images/c658b446_foto.jpg</t>
        </is>
      </c>
      <c r="I48" s="3" t="inlineStr">
        <is>
          <t>images/c658b446_firma.png</t>
        </is>
      </c>
    </row>
    <row r="49">
      <c r="A49" s="4" t="inlineStr">
        <is>
          <t>e75e4fae</t>
        </is>
      </c>
      <c r="B49" s="4" t="inlineStr">
        <is>
          <t>8AJ60KA8C0T2ZYT3D</t>
        </is>
      </c>
      <c r="C49" s="4" t="inlineStr">
        <is>
          <t>2024-11-04</t>
        </is>
      </c>
      <c r="D49" s="5" t="inlineStr">
        <is>
          <t>Techo</t>
        </is>
      </c>
      <c r="E49" s="5" t="inlineStr">
        <is>
          <t>Filo de panel</t>
        </is>
      </c>
      <c r="F49" s="4" t="n">
        <v>3</v>
      </c>
      <c r="G49" s="5" t="inlineStr">
        <is>
          <t>Requiere seguimiento</t>
        </is>
      </c>
      <c r="H49" s="5" t="inlineStr">
        <is>
          <t>images/e75e4fae_foto.jpg</t>
        </is>
      </c>
      <c r="I49" s="5" t="inlineStr">
        <is>
          <t>images/e75e4fae_firma.png</t>
        </is>
      </c>
    </row>
    <row r="50">
      <c r="A50" s="2" t="inlineStr">
        <is>
          <t>d5c11f70</t>
        </is>
      </c>
      <c r="B50" s="2" t="inlineStr">
        <is>
          <t>8AJN6KWRVB8D2XJCH</t>
        </is>
      </c>
      <c r="C50" s="2" t="inlineStr">
        <is>
          <t>2024-06-02</t>
        </is>
      </c>
      <c r="D50" s="3" t="inlineStr">
        <is>
          <t>Pilar trasero derecho</t>
        </is>
      </c>
      <c r="E50" s="3" t="inlineStr">
        <is>
          <t>Desprendido</t>
        </is>
      </c>
      <c r="F50" s="2" t="n">
        <v>0</v>
      </c>
      <c r="G50" s="3" t="inlineStr">
        <is>
          <t>Revisar</t>
        </is>
      </c>
      <c r="H50" s="3" t="inlineStr">
        <is>
          <t>images/d5c11f70_foto.jpg</t>
        </is>
      </c>
      <c r="I50" s="3" t="inlineStr">
        <is>
          <t>images/d5c11f70_firma.png</t>
        </is>
      </c>
    </row>
    <row r="51">
      <c r="A51" s="4" t="inlineStr">
        <is>
          <t>55ee942c</t>
        </is>
      </c>
      <c r="B51" s="4" t="inlineStr">
        <is>
          <t>8AJN6KWRVB8D2XJCH</t>
        </is>
      </c>
      <c r="C51" s="4" t="inlineStr">
        <is>
          <t>2024-06-02</t>
        </is>
      </c>
      <c r="D51" s="5" t="inlineStr">
        <is>
          <t>Estribo lateral derecho</t>
        </is>
      </c>
      <c r="E51" s="5" t="inlineStr">
        <is>
          <t>Fallo de pintura</t>
        </is>
      </c>
      <c r="F51" s="4" t="n">
        <v>6</v>
      </c>
      <c r="G51" s="5" t="inlineStr"/>
      <c r="H51" s="5" t="inlineStr">
        <is>
          <t>images/55ee942c_foto.jpg</t>
        </is>
      </c>
      <c r="I51" s="5" t="inlineStr">
        <is>
          <t>images/55ee942c_firma.png</t>
        </is>
      </c>
    </row>
    <row r="52">
      <c r="A52" s="2" t="inlineStr">
        <is>
          <t>286f05dc</t>
        </is>
      </c>
      <c r="B52" s="2" t="inlineStr">
        <is>
          <t>8AJRWKH00RZ72XY7R</t>
        </is>
      </c>
      <c r="C52" s="2" t="inlineStr">
        <is>
          <t>2024-10-15</t>
        </is>
      </c>
      <c r="D52" s="3" t="inlineStr">
        <is>
          <t>Optica trasera izquierda</t>
        </is>
      </c>
      <c r="E52" s="3" t="inlineStr">
        <is>
          <t>Abollado</t>
        </is>
      </c>
      <c r="F52" s="2" t="n">
        <v>8</v>
      </c>
      <c r="G52" s="3" t="inlineStr">
        <is>
          <t>Revisar</t>
        </is>
      </c>
      <c r="H52" s="3" t="inlineStr">
        <is>
          <t>images/286f05dc_foto.jpg</t>
        </is>
      </c>
      <c r="I52" s="3" t="inlineStr">
        <is>
          <t>images/286f05dc_firma.png</t>
        </is>
      </c>
    </row>
    <row r="53">
      <c r="A53" s="4" t="inlineStr">
        <is>
          <t>50a615d2</t>
        </is>
      </c>
      <c r="B53" s="4" t="inlineStr">
        <is>
          <t>8AJRWKH00RZ72XY7R</t>
        </is>
      </c>
      <c r="C53" s="4" t="inlineStr">
        <is>
          <t>2024-10-15</t>
        </is>
      </c>
      <c r="D53" s="5" t="inlineStr">
        <is>
          <t>Espejo exterior derecho</t>
        </is>
      </c>
      <c r="E53" s="5" t="inlineStr">
        <is>
          <t>Filo de panel</t>
        </is>
      </c>
      <c r="F53" s="4" t="n">
        <v>4</v>
      </c>
      <c r="G53" s="5" t="inlineStr">
        <is>
          <t>Revisar</t>
        </is>
      </c>
      <c r="H53" s="5" t="inlineStr">
        <is>
          <t>images/50a615d2_foto.jpg</t>
        </is>
      </c>
      <c r="I53" s="5" t="inlineStr">
        <is>
          <t>images/50a615d2_firma.png</t>
        </is>
      </c>
    </row>
    <row r="54">
      <c r="A54" s="2" t="inlineStr">
        <is>
          <t>5266c567</t>
        </is>
      </c>
      <c r="B54" s="2" t="inlineStr">
        <is>
          <t>8AJCFL1VKEZ08TTCB</t>
        </is>
      </c>
      <c r="C54" s="2" t="inlineStr">
        <is>
          <t>2024-10-07</t>
        </is>
      </c>
      <c r="D54" s="3" t="inlineStr">
        <is>
          <t>Llantas</t>
        </is>
      </c>
      <c r="E54" s="3" t="inlineStr">
        <is>
          <t>Mellado</t>
        </is>
      </c>
      <c r="F54" s="2" t="n">
        <v>9</v>
      </c>
      <c r="G54" s="3" t="inlineStr">
        <is>
          <t>Requiere seguimiento</t>
        </is>
      </c>
      <c r="H54" s="3" t="inlineStr">
        <is>
          <t>images/5266c567_foto.jpg</t>
        </is>
      </c>
      <c r="I54" s="3" t="inlineStr">
        <is>
          <t>images/5266c567_firma.png</t>
        </is>
      </c>
    </row>
    <row r="55">
      <c r="A55" s="4" t="inlineStr">
        <is>
          <t>3143662f</t>
        </is>
      </c>
      <c r="B55" s="4" t="inlineStr">
        <is>
          <t>8AJCFL1VKEZ08TTCB</t>
        </is>
      </c>
      <c r="C55" s="4" t="inlineStr">
        <is>
          <t>2024-10-07</t>
        </is>
      </c>
      <c r="D55" s="5" t="inlineStr">
        <is>
          <t>Guardabarro trasero derecho</t>
        </is>
      </c>
      <c r="E55" s="5" t="inlineStr">
        <is>
          <t>Faltante</t>
        </is>
      </c>
      <c r="F55" s="4" t="n">
        <v>0</v>
      </c>
      <c r="G55" s="5" t="inlineStr"/>
      <c r="H55" s="5" t="inlineStr">
        <is>
          <t>images/3143662f_foto.jpg</t>
        </is>
      </c>
      <c r="I55" s="5" t="inlineStr">
        <is>
          <t>images/3143662f_firma.png</t>
        </is>
      </c>
    </row>
    <row r="56">
      <c r="A56" s="2" t="inlineStr">
        <is>
          <t>62ea8574</t>
        </is>
      </c>
      <c r="B56" s="2" t="inlineStr">
        <is>
          <t>8AJCFL1VKEZ08TTCB</t>
        </is>
      </c>
      <c r="C56" s="2" t="inlineStr">
        <is>
          <t>2024-10-07</t>
        </is>
      </c>
      <c r="D56" s="3" t="inlineStr">
        <is>
          <t>Pilar trasero derecho</t>
        </is>
      </c>
      <c r="E56" s="3" t="inlineStr">
        <is>
          <t>Cortado</t>
        </is>
      </c>
      <c r="F56" s="2" t="n">
        <v>0</v>
      </c>
      <c r="G56" s="3" t="inlineStr">
        <is>
          <t>Revisar</t>
        </is>
      </c>
      <c r="H56" s="3" t="inlineStr">
        <is>
          <t>images/62ea8574_foto.jpg</t>
        </is>
      </c>
      <c r="I56" s="3" t="inlineStr">
        <is>
          <t>images/62ea8574_firma.png</t>
        </is>
      </c>
    </row>
    <row r="57">
      <c r="A57" s="4" t="inlineStr">
        <is>
          <t>1234d1b4</t>
        </is>
      </c>
      <c r="B57" s="4" t="inlineStr">
        <is>
          <t>8AJCFL1VKEZ08TTCB</t>
        </is>
      </c>
      <c r="C57" s="4" t="inlineStr">
        <is>
          <t>2024-10-07</t>
        </is>
      </c>
      <c r="D57" s="5" t="inlineStr">
        <is>
          <t>Optica delantera derecha</t>
        </is>
      </c>
      <c r="E57" s="5" t="inlineStr">
        <is>
          <t>Desprendido</t>
        </is>
      </c>
      <c r="F57" s="4" t="n">
        <v>8</v>
      </c>
      <c r="G57" s="5" t="inlineStr"/>
      <c r="H57" s="5" t="inlineStr">
        <is>
          <t>images/1234d1b4_foto.jpg</t>
        </is>
      </c>
      <c r="I57" s="5" t="inlineStr">
        <is>
          <t>images/1234d1b4_firma.png</t>
        </is>
      </c>
    </row>
    <row r="58">
      <c r="A58" s="2" t="inlineStr">
        <is>
          <t>65a99a8f</t>
        </is>
      </c>
      <c r="B58" s="2" t="inlineStr">
        <is>
          <t>8AJD84V89ZJB1SY7F</t>
        </is>
      </c>
      <c r="C58" s="2" t="inlineStr">
        <is>
          <t>2024-07-17</t>
        </is>
      </c>
      <c r="D58" s="3" t="inlineStr">
        <is>
          <t>Espejo exterior izquierdo</t>
        </is>
      </c>
      <c r="E58" s="3" t="inlineStr">
        <is>
          <t>Roto</t>
        </is>
      </c>
      <c r="F58" s="2" t="n">
        <v>5</v>
      </c>
      <c r="G58" s="3" t="inlineStr">
        <is>
          <t>Requiere seguimiento</t>
        </is>
      </c>
      <c r="H58" s="3" t="inlineStr">
        <is>
          <t>images/65a99a8f_foto.jpg</t>
        </is>
      </c>
      <c r="I58" s="3" t="inlineStr">
        <is>
          <t>images/65a99a8f_firma.png</t>
        </is>
      </c>
    </row>
    <row r="59">
      <c r="A59" s="4" t="inlineStr">
        <is>
          <t>c7197fda</t>
        </is>
      </c>
      <c r="B59" s="4" t="inlineStr">
        <is>
          <t>8AJMLZ5LZK83VSLL9</t>
        </is>
      </c>
      <c r="C59" s="4" t="inlineStr">
        <is>
          <t>2025-03-05</t>
        </is>
      </c>
      <c r="D59" s="5" t="inlineStr">
        <is>
          <t>Interior caja pick-up (Hilux)</t>
        </is>
      </c>
      <c r="E59" s="5" t="inlineStr">
        <is>
          <t>Roto</t>
        </is>
      </c>
      <c r="F59" s="4" t="n">
        <v>6</v>
      </c>
      <c r="G59" s="5" t="inlineStr">
        <is>
          <t>Requiere seguimiento</t>
        </is>
      </c>
      <c r="H59" s="5" t="inlineStr">
        <is>
          <t>images/c7197fda_foto.jpg</t>
        </is>
      </c>
      <c r="I59" s="5" t="inlineStr">
        <is>
          <t>images/c7197fda_firma.png</t>
        </is>
      </c>
    </row>
    <row r="60">
      <c r="A60" s="2" t="inlineStr">
        <is>
          <t>6e155ab9</t>
        </is>
      </c>
      <c r="B60" s="2" t="inlineStr">
        <is>
          <t>8AJPGM1X2GV7R0E9X</t>
        </is>
      </c>
      <c r="C60" s="2" t="inlineStr">
        <is>
          <t>2024-11-07</t>
        </is>
      </c>
      <c r="D60" s="3" t="inlineStr">
        <is>
          <t>Optica delantera izquierda</t>
        </is>
      </c>
      <c r="E60" s="3" t="inlineStr">
        <is>
          <t>Fallo de pintura</t>
        </is>
      </c>
      <c r="F60" s="2" t="n">
        <v>7</v>
      </c>
      <c r="G60" s="3" t="inlineStr"/>
      <c r="H60" s="3" t="inlineStr">
        <is>
          <t>images/6e155ab9_foto.jpg</t>
        </is>
      </c>
      <c r="I60" s="3" t="inlineStr">
        <is>
          <t>images/6e155ab9_firma.png</t>
        </is>
      </c>
    </row>
    <row r="61">
      <c r="A61" s="4" t="inlineStr">
        <is>
          <t>872d234b</t>
        </is>
      </c>
      <c r="B61" s="4" t="inlineStr">
        <is>
          <t>8AJAPH4D8YF7K0PSS</t>
        </is>
      </c>
      <c r="C61" s="4" t="inlineStr">
        <is>
          <t>2024-12-14</t>
        </is>
      </c>
      <c r="D61" s="5" t="inlineStr">
        <is>
          <t>Zócalo lateral derecho</t>
        </is>
      </c>
      <c r="E61" s="5" t="inlineStr">
        <is>
          <t>Abollado</t>
        </is>
      </c>
      <c r="F61" s="4" t="n">
        <v>3</v>
      </c>
      <c r="G61" s="5" t="inlineStr"/>
      <c r="H61" s="5" t="inlineStr">
        <is>
          <t>images/872d234b_foto.jpg</t>
        </is>
      </c>
      <c r="I61" s="5" t="inlineStr">
        <is>
          <t>images/872d234b_firma.png</t>
        </is>
      </c>
    </row>
    <row r="62">
      <c r="A62" s="2" t="inlineStr">
        <is>
          <t>61e70c8f</t>
        </is>
      </c>
      <c r="B62" s="2" t="inlineStr">
        <is>
          <t>8AJAPH4D8YF7K0PSS</t>
        </is>
      </c>
      <c r="C62" s="2" t="inlineStr">
        <is>
          <t>2024-12-14</t>
        </is>
      </c>
      <c r="D62" s="3" t="inlineStr">
        <is>
          <t>Guardabarro delantero izquierdo</t>
        </is>
      </c>
      <c r="E62" s="3" t="inlineStr">
        <is>
          <t>Fallo de pintura</t>
        </is>
      </c>
      <c r="F62" s="2" t="n">
        <v>9</v>
      </c>
      <c r="G62" s="3" t="inlineStr"/>
      <c r="H62" s="3" t="inlineStr">
        <is>
          <t>images/61e70c8f_foto.jpg</t>
        </is>
      </c>
      <c r="I62" s="3" t="inlineStr">
        <is>
          <t>images/61e70c8f_firma.png</t>
        </is>
      </c>
    </row>
    <row r="63">
      <c r="A63" s="4" t="inlineStr">
        <is>
          <t>63b72820</t>
        </is>
      </c>
      <c r="B63" s="4" t="inlineStr">
        <is>
          <t>8AJSL2N759HN5PLS7</t>
        </is>
      </c>
      <c r="C63" s="4" t="inlineStr">
        <is>
          <t>2025-02-09</t>
        </is>
      </c>
      <c r="D63" s="5" t="inlineStr">
        <is>
          <t>Optica delantera derecha</t>
        </is>
      </c>
      <c r="E63" s="5" t="inlineStr">
        <is>
          <t>Roto</t>
        </is>
      </c>
      <c r="F63" s="4" t="n">
        <v>7</v>
      </c>
      <c r="G63" s="5" t="inlineStr">
        <is>
          <t>Revisar</t>
        </is>
      </c>
      <c r="H63" s="5" t="inlineStr">
        <is>
          <t>images/63b72820_foto.jpg</t>
        </is>
      </c>
      <c r="I63" s="5" t="inlineStr">
        <is>
          <t>images/63b72820_firma.png</t>
        </is>
      </c>
    </row>
    <row r="64">
      <c r="A64" s="2" t="inlineStr">
        <is>
          <t>f847fb29</t>
        </is>
      </c>
      <c r="B64" s="2" t="inlineStr">
        <is>
          <t>8AJSL2N759HN5PLS7</t>
        </is>
      </c>
      <c r="C64" s="2" t="inlineStr">
        <is>
          <t>2025-02-09</t>
        </is>
      </c>
      <c r="D64" s="3" t="inlineStr">
        <is>
          <t>Puerta delantera izquierda</t>
        </is>
      </c>
      <c r="E64" s="3" t="inlineStr">
        <is>
          <t>Cortado</t>
        </is>
      </c>
      <c r="F64" s="2" t="n">
        <v>6</v>
      </c>
      <c r="G64" s="3" t="inlineStr">
        <is>
          <t>Leve</t>
        </is>
      </c>
      <c r="H64" s="3" t="inlineStr">
        <is>
          <t>images/f847fb29_foto.jpg</t>
        </is>
      </c>
      <c r="I64" s="3" t="inlineStr">
        <is>
          <t>images/f847fb29_firma.png</t>
        </is>
      </c>
    </row>
    <row r="65">
      <c r="A65" s="4" t="inlineStr">
        <is>
          <t>a8e73146</t>
        </is>
      </c>
      <c r="B65" s="4" t="inlineStr">
        <is>
          <t>8AJSL2N759HN5PLS7</t>
        </is>
      </c>
      <c r="C65" s="4" t="inlineStr">
        <is>
          <t>2025-02-09</t>
        </is>
      </c>
      <c r="D65" s="5" t="inlineStr">
        <is>
          <t>Guardabarro trasero derecho</t>
        </is>
      </c>
      <c r="E65" s="5" t="inlineStr">
        <is>
          <t>Fallo de pintura</t>
        </is>
      </c>
      <c r="F65" s="4" t="n">
        <v>0</v>
      </c>
      <c r="G65" s="5" t="inlineStr"/>
      <c r="H65" s="5" t="inlineStr">
        <is>
          <t>images/a8e73146_foto.jpg</t>
        </is>
      </c>
      <c r="I65" s="5" t="inlineStr">
        <is>
          <t>images/a8e73146_firma.png</t>
        </is>
      </c>
    </row>
    <row r="66">
      <c r="A66" s="2" t="inlineStr">
        <is>
          <t>c248b7c4</t>
        </is>
      </c>
      <c r="B66" s="2" t="inlineStr">
        <is>
          <t>8AJE8LD4D7AE59C2J</t>
        </is>
      </c>
      <c r="C66" s="2" t="inlineStr">
        <is>
          <t>2024-07-12</t>
        </is>
      </c>
      <c r="D66" s="3" t="inlineStr">
        <is>
          <t>Zócalo lateral izquierdo</t>
        </is>
      </c>
      <c r="E66" s="3" t="inlineStr">
        <is>
          <t>Doblado</t>
        </is>
      </c>
      <c r="F66" s="2" t="n">
        <v>4</v>
      </c>
      <c r="G66" s="3" t="inlineStr">
        <is>
          <t>Leve</t>
        </is>
      </c>
      <c r="H66" s="3" t="inlineStr">
        <is>
          <t>images/c248b7c4_foto.jpg</t>
        </is>
      </c>
      <c r="I66" s="3" t="inlineStr">
        <is>
          <t>images/c248b7c4_firma.png</t>
        </is>
      </c>
    </row>
    <row r="67">
      <c r="A67" s="4" t="inlineStr">
        <is>
          <t>6862b664</t>
        </is>
      </c>
      <c r="B67" s="4" t="inlineStr">
        <is>
          <t>8AJYSZ6SKVC89K8ZS</t>
        </is>
      </c>
      <c r="C67" s="4" t="inlineStr">
        <is>
          <t>2025-02-03</t>
        </is>
      </c>
      <c r="D67" s="5" t="inlineStr">
        <is>
          <t>Optica trasera derecha</t>
        </is>
      </c>
      <c r="E67" s="5" t="inlineStr">
        <is>
          <t>Filo de panel</t>
        </is>
      </c>
      <c r="F67" s="4" t="n">
        <v>8</v>
      </c>
      <c r="G67" s="5" t="inlineStr">
        <is>
          <t>Leve</t>
        </is>
      </c>
      <c r="H67" s="5" t="inlineStr">
        <is>
          <t>images/6862b664_foto.jpg</t>
        </is>
      </c>
      <c r="I67" s="5" t="inlineStr">
        <is>
          <t>images/6862b664_firma.png</t>
        </is>
      </c>
    </row>
    <row r="68">
      <c r="A68" s="2" t="inlineStr">
        <is>
          <t>a4bc6d24</t>
        </is>
      </c>
      <c r="B68" s="2" t="inlineStr">
        <is>
          <t>8AJHVV9K9YKVZ1BXT</t>
        </is>
      </c>
      <c r="C68" s="2" t="inlineStr">
        <is>
          <t>2024-11-28</t>
        </is>
      </c>
      <c r="D68" s="3" t="inlineStr">
        <is>
          <t>Puerta delantera izquierda</t>
        </is>
      </c>
      <c r="E68" s="3" t="inlineStr">
        <is>
          <t>Faltante</t>
        </is>
      </c>
      <c r="F68" s="2" t="n">
        <v>9</v>
      </c>
      <c r="G68" s="3" t="inlineStr">
        <is>
          <t>Revisar</t>
        </is>
      </c>
      <c r="H68" s="3" t="inlineStr">
        <is>
          <t>images/a4bc6d24_foto.jpg</t>
        </is>
      </c>
      <c r="I68" s="3" t="inlineStr">
        <is>
          <t>images/a4bc6d24_firma.png</t>
        </is>
      </c>
    </row>
    <row r="69">
      <c r="A69" s="4" t="inlineStr">
        <is>
          <t>49300821</t>
        </is>
      </c>
      <c r="B69" s="4" t="inlineStr">
        <is>
          <t>8AJHVV9K9YKVZ1BXT</t>
        </is>
      </c>
      <c r="C69" s="4" t="inlineStr">
        <is>
          <t>2024-11-28</t>
        </is>
      </c>
      <c r="D69" s="5" t="inlineStr">
        <is>
          <t>Espejo exterior derecho</t>
        </is>
      </c>
      <c r="E69" s="5" t="inlineStr">
        <is>
          <t>Mellado</t>
        </is>
      </c>
      <c r="F69" s="4" t="n">
        <v>7</v>
      </c>
      <c r="G69" s="5" t="inlineStr">
        <is>
          <t>Requiere seguimiento</t>
        </is>
      </c>
      <c r="H69" s="5" t="inlineStr">
        <is>
          <t>images/49300821_foto.jpg</t>
        </is>
      </c>
      <c r="I69" s="5" t="inlineStr">
        <is>
          <t>images/49300821_firma.png</t>
        </is>
      </c>
    </row>
    <row r="70">
      <c r="A70" s="2" t="inlineStr">
        <is>
          <t>c75b01c2</t>
        </is>
      </c>
      <c r="B70" s="2" t="inlineStr">
        <is>
          <t>8AJ4X7KZHRHM9N6YB</t>
        </is>
      </c>
      <c r="C70" s="2" t="inlineStr">
        <is>
          <t>2025-01-19</t>
        </is>
      </c>
      <c r="D70" s="3" t="inlineStr">
        <is>
          <t>Espejo exterior derecho</t>
        </is>
      </c>
      <c r="E70" s="3" t="inlineStr">
        <is>
          <t>Doblado</t>
        </is>
      </c>
      <c r="F70" s="2" t="n">
        <v>1</v>
      </c>
      <c r="G70" s="3" t="inlineStr">
        <is>
          <t>Leve</t>
        </is>
      </c>
      <c r="H70" s="3" t="inlineStr">
        <is>
          <t>images/c75b01c2_foto.jpg</t>
        </is>
      </c>
      <c r="I70" s="3" t="inlineStr">
        <is>
          <t>images/c75b01c2_firma.png</t>
        </is>
      </c>
    </row>
    <row r="71">
      <c r="A71" s="4" t="inlineStr">
        <is>
          <t>3ddd1c3c</t>
        </is>
      </c>
      <c r="B71" s="4" t="inlineStr">
        <is>
          <t>8AJYYWA2JEVC2GH5L</t>
        </is>
      </c>
      <c r="C71" s="4" t="inlineStr">
        <is>
          <t>2024-10-20</t>
        </is>
      </c>
      <c r="D71" s="5" t="inlineStr">
        <is>
          <t>Optica trasera izquierda</t>
        </is>
      </c>
      <c r="E71" s="5" t="inlineStr">
        <is>
          <t>Filo de panel</t>
        </is>
      </c>
      <c r="F71" s="4" t="n">
        <v>0</v>
      </c>
      <c r="G71" s="5" t="inlineStr"/>
      <c r="H71" s="5" t="inlineStr">
        <is>
          <t>images/3ddd1c3c_foto.jpg</t>
        </is>
      </c>
      <c r="I71" s="5" t="inlineStr">
        <is>
          <t>images/3ddd1c3c_firma.png</t>
        </is>
      </c>
    </row>
    <row r="72">
      <c r="A72" s="2" t="inlineStr">
        <is>
          <t>c8f7a45a</t>
        </is>
      </c>
      <c r="B72" s="2" t="inlineStr">
        <is>
          <t>8AJ9U3D5EM3WAJEPD</t>
        </is>
      </c>
      <c r="C72" s="2" t="inlineStr">
        <is>
          <t>2024-12-03</t>
        </is>
      </c>
      <c r="D72" s="3" t="inlineStr">
        <is>
          <t>Paragolpe trasero</t>
        </is>
      </c>
      <c r="E72" s="3" t="inlineStr">
        <is>
          <t>Desprendido</t>
        </is>
      </c>
      <c r="F72" s="2" t="n">
        <v>8</v>
      </c>
      <c r="G72" s="3" t="inlineStr"/>
      <c r="H72" s="3" t="inlineStr">
        <is>
          <t>images/c8f7a45a_foto.jpg</t>
        </is>
      </c>
      <c r="I72" s="3" t="inlineStr">
        <is>
          <t>images/c8f7a45a_firma.png</t>
        </is>
      </c>
    </row>
    <row r="73">
      <c r="A73" s="4" t="inlineStr">
        <is>
          <t>3ed31a52</t>
        </is>
      </c>
      <c r="B73" s="4" t="inlineStr">
        <is>
          <t>8AJEEXW0NWKTR3DY5</t>
        </is>
      </c>
      <c r="C73" s="4" t="inlineStr">
        <is>
          <t>2025-01-07</t>
        </is>
      </c>
      <c r="D73" s="5" t="inlineStr">
        <is>
          <t>Espejo exterior derecho</t>
        </is>
      </c>
      <c r="E73" s="5" t="inlineStr">
        <is>
          <t>Cortado</t>
        </is>
      </c>
      <c r="F73" s="4" t="n">
        <v>1</v>
      </c>
      <c r="G73" s="5" t="inlineStr">
        <is>
          <t>Revisar</t>
        </is>
      </c>
      <c r="H73" s="5" t="inlineStr">
        <is>
          <t>images/3ed31a52_foto.jpg</t>
        </is>
      </c>
      <c r="I73" s="5" t="inlineStr">
        <is>
          <t>images/3ed31a52_firma.png</t>
        </is>
      </c>
    </row>
    <row r="74">
      <c r="A74" s="2" t="inlineStr">
        <is>
          <t>00c79512</t>
        </is>
      </c>
      <c r="B74" s="2" t="inlineStr">
        <is>
          <t>8AJ6P4P1LLJ8ZSDCR</t>
        </is>
      </c>
      <c r="C74" s="2" t="inlineStr">
        <is>
          <t>2025-03-12</t>
        </is>
      </c>
      <c r="D74" s="3" t="inlineStr">
        <is>
          <t>Guardabarro delantero derecho</t>
        </is>
      </c>
      <c r="E74" s="3" t="inlineStr">
        <is>
          <t>Cortado</t>
        </is>
      </c>
      <c r="F74" s="2" t="n">
        <v>5</v>
      </c>
      <c r="G74" s="3" t="inlineStr">
        <is>
          <t>Requiere seguimiento</t>
        </is>
      </c>
      <c r="H74" s="3" t="inlineStr">
        <is>
          <t>images/00c79512_foto.jpg</t>
        </is>
      </c>
      <c r="I74" s="3" t="inlineStr">
        <is>
          <t>images/00c79512_firma.png</t>
        </is>
      </c>
    </row>
    <row r="75">
      <c r="A75" s="4" t="inlineStr">
        <is>
          <t>05281758</t>
        </is>
      </c>
      <c r="B75" s="4" t="inlineStr">
        <is>
          <t>8AJ6P4P1LLJ8ZSDCR</t>
        </is>
      </c>
      <c r="C75" s="4" t="inlineStr">
        <is>
          <t>2025-03-12</t>
        </is>
      </c>
      <c r="D75" s="5" t="inlineStr">
        <is>
          <t>Puerta delantera izquierda</t>
        </is>
      </c>
      <c r="E75" s="5" t="inlineStr">
        <is>
          <t>Roto</t>
        </is>
      </c>
      <c r="F75" s="4" t="n">
        <v>7</v>
      </c>
      <c r="G75" s="5" t="inlineStr">
        <is>
          <t>Requiere seguimiento</t>
        </is>
      </c>
      <c r="H75" s="5" t="inlineStr">
        <is>
          <t>images/05281758_foto.jpg</t>
        </is>
      </c>
      <c r="I75" s="5" t="inlineStr">
        <is>
          <t>images/05281758_firma.png</t>
        </is>
      </c>
    </row>
    <row r="76">
      <c r="A76" s="2" t="inlineStr">
        <is>
          <t>52e774b3</t>
        </is>
      </c>
      <c r="B76" s="2" t="inlineStr">
        <is>
          <t>8AJN2V3494XYA74JF</t>
        </is>
      </c>
      <c r="C76" s="2" t="inlineStr">
        <is>
          <t>2024-06-04</t>
        </is>
      </c>
      <c r="D76" s="3" t="inlineStr">
        <is>
          <t>Guardabarro trasero izquierdo</t>
        </is>
      </c>
      <c r="E76" s="3" t="inlineStr">
        <is>
          <t>Desprendido</t>
        </is>
      </c>
      <c r="F76" s="2" t="n">
        <v>5</v>
      </c>
      <c r="G76" s="3" t="inlineStr"/>
      <c r="H76" s="3" t="inlineStr">
        <is>
          <t>images/52e774b3_foto.jpg</t>
        </is>
      </c>
      <c r="I76" s="3" t="inlineStr">
        <is>
          <t>images/52e774b3_firma.png</t>
        </is>
      </c>
    </row>
    <row r="77">
      <c r="A77" s="4" t="inlineStr">
        <is>
          <t>b4de8124</t>
        </is>
      </c>
      <c r="B77" s="4" t="inlineStr">
        <is>
          <t>8AJN2V3494XYA74JF</t>
        </is>
      </c>
      <c r="C77" s="4" t="inlineStr">
        <is>
          <t>2024-06-04</t>
        </is>
      </c>
      <c r="D77" s="5" t="inlineStr">
        <is>
          <t>Espejo exterior derecho</t>
        </is>
      </c>
      <c r="E77" s="5" t="inlineStr">
        <is>
          <t>Desprendido</t>
        </is>
      </c>
      <c r="F77" s="4" t="n">
        <v>5</v>
      </c>
      <c r="G77" s="5" t="inlineStr">
        <is>
          <t>Revisar</t>
        </is>
      </c>
      <c r="H77" s="5" t="inlineStr">
        <is>
          <t>images/b4de8124_foto.jpg</t>
        </is>
      </c>
      <c r="I77" s="5" t="inlineStr">
        <is>
          <t>images/b4de8124_firma.png</t>
        </is>
      </c>
    </row>
    <row r="78">
      <c r="A78" s="2" t="inlineStr">
        <is>
          <t>620dc3ba</t>
        </is>
      </c>
      <c r="B78" s="2" t="inlineStr">
        <is>
          <t>8AJBCRPXPHTMDZWUL</t>
        </is>
      </c>
      <c r="C78" s="2" t="inlineStr">
        <is>
          <t>2024-06-04</t>
        </is>
      </c>
      <c r="D78" s="3" t="inlineStr">
        <is>
          <t>Estribo lateral izquierdo</t>
        </is>
      </c>
      <c r="E78" s="3" t="inlineStr">
        <is>
          <t>Doblado</t>
        </is>
      </c>
      <c r="F78" s="2" t="n">
        <v>3</v>
      </c>
      <c r="G78" s="3" t="inlineStr">
        <is>
          <t>Leve</t>
        </is>
      </c>
      <c r="H78" s="3" t="inlineStr">
        <is>
          <t>images/620dc3ba_foto.jpg</t>
        </is>
      </c>
      <c r="I78" s="3" t="inlineStr">
        <is>
          <t>images/620dc3ba_firma.png</t>
        </is>
      </c>
    </row>
    <row r="79">
      <c r="A79" s="4" t="inlineStr">
        <is>
          <t>c24651a0</t>
        </is>
      </c>
      <c r="B79" s="4" t="inlineStr">
        <is>
          <t>8AJKGEJLA1FN0T43C</t>
        </is>
      </c>
      <c r="C79" s="4" t="inlineStr">
        <is>
          <t>2025-01-22</t>
        </is>
      </c>
      <c r="D79" s="5" t="inlineStr">
        <is>
          <t>Guardabarro trasero derecho</t>
        </is>
      </c>
      <c r="E79" s="5" t="inlineStr">
        <is>
          <t>Mellado</t>
        </is>
      </c>
      <c r="F79" s="4" t="n">
        <v>0</v>
      </c>
      <c r="G79" s="5" t="inlineStr"/>
      <c r="H79" s="5" t="inlineStr">
        <is>
          <t>images/c24651a0_foto.jpg</t>
        </is>
      </c>
      <c r="I79" s="5" t="inlineStr">
        <is>
          <t>images/c24651a0_firma.png</t>
        </is>
      </c>
    </row>
    <row r="80">
      <c r="A80" s="2" t="inlineStr">
        <is>
          <t>130a6799</t>
        </is>
      </c>
      <c r="B80" s="2" t="inlineStr">
        <is>
          <t>8AJKGEJLA1FN0T43C</t>
        </is>
      </c>
      <c r="C80" s="2" t="inlineStr">
        <is>
          <t>2025-01-22</t>
        </is>
      </c>
      <c r="D80" s="3" t="inlineStr">
        <is>
          <t>Paragolpe trasero</t>
        </is>
      </c>
      <c r="E80" s="3" t="inlineStr">
        <is>
          <t>Roto</t>
        </is>
      </c>
      <c r="F80" s="2" t="n">
        <v>3</v>
      </c>
      <c r="G80" s="3" t="inlineStr">
        <is>
          <t>Leve</t>
        </is>
      </c>
      <c r="H80" s="3" t="inlineStr">
        <is>
          <t>images/130a6799_foto.jpg</t>
        </is>
      </c>
      <c r="I80" s="3" t="inlineStr">
        <is>
          <t>images/130a6799_firma.png</t>
        </is>
      </c>
    </row>
    <row r="81">
      <c r="A81" s="4" t="inlineStr">
        <is>
          <t>0eaed7a5</t>
        </is>
      </c>
      <c r="B81" s="4" t="inlineStr">
        <is>
          <t>8AJ5WV0PDAL3X47C4</t>
        </is>
      </c>
      <c r="C81" s="4" t="inlineStr">
        <is>
          <t>2025-02-24</t>
        </is>
      </c>
      <c r="D81" s="5" t="inlineStr">
        <is>
          <t>Zócalo lateral derecho</t>
        </is>
      </c>
      <c r="E81" s="5" t="inlineStr">
        <is>
          <t>Doblado</t>
        </is>
      </c>
      <c r="F81" s="4" t="n">
        <v>5</v>
      </c>
      <c r="G81" s="5" t="inlineStr">
        <is>
          <t>Requiere seguimiento</t>
        </is>
      </c>
      <c r="H81" s="5" t="inlineStr">
        <is>
          <t>images/0eaed7a5_foto.jpg</t>
        </is>
      </c>
      <c r="I81" s="5" t="inlineStr">
        <is>
          <t>images/0eaed7a5_firma.png</t>
        </is>
      </c>
    </row>
    <row r="82">
      <c r="A82" s="2" t="inlineStr">
        <is>
          <t>098bd138</t>
        </is>
      </c>
      <c r="B82" s="2" t="inlineStr">
        <is>
          <t>8AJ5WV0PDAL3X47C4</t>
        </is>
      </c>
      <c r="C82" s="2" t="inlineStr">
        <is>
          <t>2025-02-24</t>
        </is>
      </c>
      <c r="D82" s="3" t="inlineStr">
        <is>
          <t>Guardabarro delantero izquierdo</t>
        </is>
      </c>
      <c r="E82" s="3" t="inlineStr">
        <is>
          <t>Filo de panel</t>
        </is>
      </c>
      <c r="F82" s="2" t="n">
        <v>8</v>
      </c>
      <c r="G82" s="3" t="inlineStr">
        <is>
          <t>Revisar</t>
        </is>
      </c>
      <c r="H82" s="3" t="inlineStr">
        <is>
          <t>images/098bd138_foto.jpg</t>
        </is>
      </c>
      <c r="I82" s="3" t="inlineStr">
        <is>
          <t>images/098bd138_firma.png</t>
        </is>
      </c>
    </row>
    <row r="83">
      <c r="A83" s="4" t="inlineStr">
        <is>
          <t>3a2b61a5</t>
        </is>
      </c>
      <c r="B83" s="4" t="inlineStr">
        <is>
          <t>8AJF2C8XSVWZ6Y9L9</t>
        </is>
      </c>
      <c r="C83" s="4" t="inlineStr">
        <is>
          <t>2024-07-05</t>
        </is>
      </c>
      <c r="D83" s="5" t="inlineStr">
        <is>
          <t>Optica trasera izquierda</t>
        </is>
      </c>
      <c r="E83" s="5" t="inlineStr">
        <is>
          <t>Doblado</t>
        </is>
      </c>
      <c r="F83" s="4" t="n">
        <v>1</v>
      </c>
      <c r="G83" s="5" t="inlineStr"/>
      <c r="H83" s="5" t="inlineStr">
        <is>
          <t>images/3a2b61a5_foto.jpg</t>
        </is>
      </c>
      <c r="I83" s="5" t="inlineStr">
        <is>
          <t>images/3a2b61a5_firma.png</t>
        </is>
      </c>
    </row>
    <row r="84">
      <c r="A84" s="2" t="inlineStr">
        <is>
          <t>88a89ee8</t>
        </is>
      </c>
      <c r="B84" s="2" t="inlineStr">
        <is>
          <t>8AJRKKBTLRB4C55XT</t>
        </is>
      </c>
      <c r="C84" s="2" t="inlineStr">
        <is>
          <t>2025-01-17</t>
        </is>
      </c>
      <c r="D84" s="3" t="inlineStr">
        <is>
          <t>Parabrisas delantero</t>
        </is>
      </c>
      <c r="E84" s="3" t="inlineStr">
        <is>
          <t>Roto</t>
        </is>
      </c>
      <c r="F84" s="2" t="n">
        <v>6</v>
      </c>
      <c r="G84" s="3" t="inlineStr">
        <is>
          <t>Requiere seguimiento</t>
        </is>
      </c>
      <c r="H84" s="3" t="inlineStr">
        <is>
          <t>images/88a89ee8_foto.jpg</t>
        </is>
      </c>
      <c r="I84" s="3" t="inlineStr">
        <is>
          <t>images/88a89ee8_firma.png</t>
        </is>
      </c>
    </row>
    <row r="85">
      <c r="A85" s="4" t="inlineStr">
        <is>
          <t>6b993ce4</t>
        </is>
      </c>
      <c r="B85" s="4" t="inlineStr">
        <is>
          <t>8AJRKKBTLRB4C55XT</t>
        </is>
      </c>
      <c r="C85" s="4" t="inlineStr">
        <is>
          <t>2025-01-17</t>
        </is>
      </c>
      <c r="D85" s="5" t="inlineStr">
        <is>
          <t>Optica trasera izquierda</t>
        </is>
      </c>
      <c r="E85" s="5" t="inlineStr">
        <is>
          <t>Faltante</t>
        </is>
      </c>
      <c r="F85" s="4" t="n">
        <v>6</v>
      </c>
      <c r="G85" s="5" t="inlineStr"/>
      <c r="H85" s="5" t="inlineStr">
        <is>
          <t>images/6b993ce4_foto.jpg</t>
        </is>
      </c>
      <c r="I85" s="5" t="inlineStr">
        <is>
          <t>images/6b993ce4_firma.png</t>
        </is>
      </c>
    </row>
    <row r="86">
      <c r="A86" s="2" t="inlineStr">
        <is>
          <t>f98f443d</t>
        </is>
      </c>
      <c r="B86" s="2" t="inlineStr">
        <is>
          <t>8AJYLSECD6M0TFJRR</t>
        </is>
      </c>
      <c r="C86" s="2" t="inlineStr">
        <is>
          <t>2024-12-04</t>
        </is>
      </c>
      <c r="D86" s="3" t="inlineStr">
        <is>
          <t>Paragolpe delantero</t>
        </is>
      </c>
      <c r="E86" s="3" t="inlineStr">
        <is>
          <t>Fallo de pintura</t>
        </is>
      </c>
      <c r="F86" s="2" t="n">
        <v>8</v>
      </c>
      <c r="G86" s="3" t="inlineStr">
        <is>
          <t>Leve</t>
        </is>
      </c>
      <c r="H86" s="3" t="inlineStr">
        <is>
          <t>images/f98f443d_foto.jpg</t>
        </is>
      </c>
      <c r="I86" s="3" t="inlineStr">
        <is>
          <t>images/f98f443d_firma.png</t>
        </is>
      </c>
    </row>
    <row r="87">
      <c r="A87" s="4" t="inlineStr">
        <is>
          <t>8e205259</t>
        </is>
      </c>
      <c r="B87" s="4" t="inlineStr">
        <is>
          <t>8AJYLSECD6M0TFJRR</t>
        </is>
      </c>
      <c r="C87" s="4" t="inlineStr">
        <is>
          <t>2024-12-04</t>
        </is>
      </c>
      <c r="D87" s="5" t="inlineStr">
        <is>
          <t>Parrilla</t>
        </is>
      </c>
      <c r="E87" s="5" t="inlineStr">
        <is>
          <t>Fallo de pintura</t>
        </is>
      </c>
      <c r="F87" s="4" t="n">
        <v>4</v>
      </c>
      <c r="G87" s="5" t="inlineStr"/>
      <c r="H87" s="5" t="inlineStr">
        <is>
          <t>images/8e205259_foto.jpg</t>
        </is>
      </c>
      <c r="I87" s="5" t="inlineStr">
        <is>
          <t>images/8e205259_firma.png</t>
        </is>
      </c>
    </row>
    <row r="88">
      <c r="A88" s="2" t="inlineStr">
        <is>
          <t>931577eb</t>
        </is>
      </c>
      <c r="B88" s="2" t="inlineStr">
        <is>
          <t>8AJ7N2ZBXMLVNJ58W</t>
        </is>
      </c>
      <c r="C88" s="2" t="inlineStr">
        <is>
          <t>2025-03-26</t>
        </is>
      </c>
      <c r="D88" s="3" t="inlineStr">
        <is>
          <t>Pilar delantero izquierdo</t>
        </is>
      </c>
      <c r="E88" s="3" t="inlineStr">
        <is>
          <t>Abollado</t>
        </is>
      </c>
      <c r="F88" s="2" t="n">
        <v>9</v>
      </c>
      <c r="G88" s="3" t="inlineStr">
        <is>
          <t>Requiere seguimiento</t>
        </is>
      </c>
      <c r="H88" s="3" t="inlineStr">
        <is>
          <t>images/931577eb_foto.jpg</t>
        </is>
      </c>
      <c r="I88" s="3" t="inlineStr">
        <is>
          <t>images/931577eb_firma.png</t>
        </is>
      </c>
    </row>
    <row r="89">
      <c r="A89" s="4" t="inlineStr">
        <is>
          <t>b910c5d6</t>
        </is>
      </c>
      <c r="B89" s="4" t="inlineStr">
        <is>
          <t>8AJ7LYYE0CVYLE089</t>
        </is>
      </c>
      <c r="C89" s="4" t="inlineStr">
        <is>
          <t>2025-02-16</t>
        </is>
      </c>
      <c r="D89" s="5" t="inlineStr">
        <is>
          <t>Pilar trasero derecho</t>
        </is>
      </c>
      <c r="E89" s="5" t="inlineStr">
        <is>
          <t>Abollado</t>
        </is>
      </c>
      <c r="F89" s="4" t="n">
        <v>3</v>
      </c>
      <c r="G89" s="5" t="inlineStr">
        <is>
          <t>Requiere seguimiento</t>
        </is>
      </c>
      <c r="H89" s="5" t="inlineStr">
        <is>
          <t>images/b910c5d6_foto.jpg</t>
        </is>
      </c>
      <c r="I89" s="5" t="inlineStr">
        <is>
          <t>images/b910c5d6_firma.png</t>
        </is>
      </c>
    </row>
    <row r="90">
      <c r="A90" s="2" t="inlineStr">
        <is>
          <t>90c64082</t>
        </is>
      </c>
      <c r="B90" s="2" t="inlineStr">
        <is>
          <t>8AJAL8M2G9FK3TU1U</t>
        </is>
      </c>
      <c r="C90" s="2" t="inlineStr">
        <is>
          <t>2024-12-10</t>
        </is>
      </c>
      <c r="D90" s="3" t="inlineStr">
        <is>
          <t>Estribo lateral derecho</t>
        </is>
      </c>
      <c r="E90" s="3" t="inlineStr">
        <is>
          <t>Filo de panel</t>
        </is>
      </c>
      <c r="F90" s="2" t="n">
        <v>2</v>
      </c>
      <c r="G90" s="3" t="inlineStr"/>
      <c r="H90" s="3" t="inlineStr">
        <is>
          <t>images/90c64082_foto.jpg</t>
        </is>
      </c>
      <c r="I90" s="3" t="inlineStr">
        <is>
          <t>images/90c64082_firma.png</t>
        </is>
      </c>
    </row>
    <row r="91">
      <c r="A91" s="4" t="inlineStr">
        <is>
          <t>affc916c</t>
        </is>
      </c>
      <c r="B91" s="4" t="inlineStr">
        <is>
          <t>8AJAL8M2G9FK3TU1U</t>
        </is>
      </c>
      <c r="C91" s="4" t="inlineStr">
        <is>
          <t>2024-12-10</t>
        </is>
      </c>
      <c r="D91" s="5" t="inlineStr">
        <is>
          <t>Guardabarro trasero derecho</t>
        </is>
      </c>
      <c r="E91" s="5" t="inlineStr">
        <is>
          <t>Mellado</t>
        </is>
      </c>
      <c r="F91" s="4" t="n">
        <v>5</v>
      </c>
      <c r="G91" s="5" t="inlineStr"/>
      <c r="H91" s="5" t="inlineStr">
        <is>
          <t>images/affc916c_foto.jpg</t>
        </is>
      </c>
      <c r="I91" s="5" t="inlineStr">
        <is>
          <t>images/affc916c_firma.png</t>
        </is>
      </c>
    </row>
    <row r="92">
      <c r="A92" s="2" t="inlineStr">
        <is>
          <t>b8466bc7</t>
        </is>
      </c>
      <c r="B92" s="2" t="inlineStr">
        <is>
          <t>8AJF423FRPZHRK1RU</t>
        </is>
      </c>
      <c r="C92" s="2" t="inlineStr">
        <is>
          <t>2024-09-08</t>
        </is>
      </c>
      <c r="D92" s="3" t="inlineStr">
        <is>
          <t>Capot</t>
        </is>
      </c>
      <c r="E92" s="3" t="inlineStr">
        <is>
          <t>Faltante</t>
        </is>
      </c>
      <c r="F92" s="2" t="n">
        <v>6</v>
      </c>
      <c r="G92" s="3" t="inlineStr">
        <is>
          <t>Requiere seguimiento</t>
        </is>
      </c>
      <c r="H92" s="3" t="inlineStr">
        <is>
          <t>images/b8466bc7_foto.jpg</t>
        </is>
      </c>
      <c r="I92" s="3" t="inlineStr">
        <is>
          <t>images/b8466bc7_firma.png</t>
        </is>
      </c>
    </row>
    <row r="93">
      <c r="A93" s="4" t="inlineStr">
        <is>
          <t>8f8346a9</t>
        </is>
      </c>
      <c r="B93" s="4" t="inlineStr">
        <is>
          <t>8AJZVR22TPFGW5BSN</t>
        </is>
      </c>
      <c r="C93" s="4" t="inlineStr">
        <is>
          <t>2024-10-24</t>
        </is>
      </c>
      <c r="D93" s="5" t="inlineStr">
        <is>
          <t>Guardabarro delantero izquierdo</t>
        </is>
      </c>
      <c r="E93" s="5" t="inlineStr">
        <is>
          <t>Doblado</t>
        </is>
      </c>
      <c r="F93" s="4" t="n">
        <v>6</v>
      </c>
      <c r="G93" s="5" t="inlineStr"/>
      <c r="H93" s="5" t="inlineStr">
        <is>
          <t>images/8f8346a9_foto.jpg</t>
        </is>
      </c>
      <c r="I93" s="5" t="inlineStr">
        <is>
          <t>images/8f8346a9_firma.png</t>
        </is>
      </c>
    </row>
    <row r="94">
      <c r="A94" s="2" t="inlineStr">
        <is>
          <t>5904f9f7</t>
        </is>
      </c>
      <c r="B94" s="2" t="inlineStr">
        <is>
          <t>8AJ2K6ER8HRMABTH9</t>
        </is>
      </c>
      <c r="C94" s="2" t="inlineStr">
        <is>
          <t>2024-11-11</t>
        </is>
      </c>
      <c r="D94" s="3" t="inlineStr">
        <is>
          <t>Guardabarro trasero derecho</t>
        </is>
      </c>
      <c r="E94" s="3" t="inlineStr">
        <is>
          <t>Faltante</t>
        </is>
      </c>
      <c r="F94" s="2" t="n">
        <v>0</v>
      </c>
      <c r="G94" s="3" t="inlineStr"/>
      <c r="H94" s="3" t="inlineStr">
        <is>
          <t>images/5904f9f7_foto.jpg</t>
        </is>
      </c>
      <c r="I94" s="3" t="inlineStr">
        <is>
          <t>images/5904f9f7_firma.png</t>
        </is>
      </c>
    </row>
    <row r="95">
      <c r="A95" s="4" t="inlineStr">
        <is>
          <t>cd10fedd</t>
        </is>
      </c>
      <c r="B95" s="4" t="inlineStr">
        <is>
          <t>8AJHEHYXC4TUXV0KA</t>
        </is>
      </c>
      <c r="C95" s="4" t="inlineStr">
        <is>
          <t>2024-09-04</t>
        </is>
      </c>
      <c r="D95" s="5" t="inlineStr">
        <is>
          <t>Paragolpe delantero</t>
        </is>
      </c>
      <c r="E95" s="5" t="inlineStr">
        <is>
          <t>Roto</t>
        </is>
      </c>
      <c r="F95" s="4" t="n">
        <v>1</v>
      </c>
      <c r="G95" s="5" t="inlineStr"/>
      <c r="H95" s="5" t="inlineStr">
        <is>
          <t>images/cd10fedd_foto.jpg</t>
        </is>
      </c>
      <c r="I95" s="5" t="inlineStr">
        <is>
          <t>images/cd10fedd_firma.png</t>
        </is>
      </c>
    </row>
    <row r="96">
      <c r="A96" s="2" t="inlineStr">
        <is>
          <t>0383847b</t>
        </is>
      </c>
      <c r="B96" s="2" t="inlineStr">
        <is>
          <t>8AJUM8U2TA5BNN1MC</t>
        </is>
      </c>
      <c r="C96" s="2" t="inlineStr">
        <is>
          <t>2025-03-25</t>
        </is>
      </c>
      <c r="D96" s="3" t="inlineStr">
        <is>
          <t>Guardabarro trasero derecho</t>
        </is>
      </c>
      <c r="E96" s="3" t="inlineStr">
        <is>
          <t>Rayado</t>
        </is>
      </c>
      <c r="F96" s="2" t="n">
        <v>6</v>
      </c>
      <c r="G96" s="3" t="inlineStr">
        <is>
          <t>Leve</t>
        </is>
      </c>
      <c r="H96" s="3" t="inlineStr">
        <is>
          <t>images/0383847b_foto.jpg</t>
        </is>
      </c>
      <c r="I96" s="3" t="inlineStr">
        <is>
          <t>images/0383847b_firma.png</t>
        </is>
      </c>
    </row>
    <row r="97">
      <c r="A97" s="4" t="inlineStr">
        <is>
          <t>8403b47f</t>
        </is>
      </c>
      <c r="B97" s="4" t="inlineStr">
        <is>
          <t>8AJEMMY4Z9SGE08BG</t>
        </is>
      </c>
      <c r="C97" s="4" t="inlineStr">
        <is>
          <t>2024-11-06</t>
        </is>
      </c>
      <c r="D97" s="5" t="inlineStr">
        <is>
          <t>Guardabarro delantero derecho</t>
        </is>
      </c>
      <c r="E97" s="5" t="inlineStr">
        <is>
          <t>Doblado</t>
        </is>
      </c>
      <c r="F97" s="4" t="n">
        <v>4</v>
      </c>
      <c r="G97" s="5" t="inlineStr">
        <is>
          <t>Requiere seguimiento</t>
        </is>
      </c>
      <c r="H97" s="5" t="inlineStr">
        <is>
          <t>images/8403b47f_foto.jpg</t>
        </is>
      </c>
      <c r="I97" s="5" t="inlineStr">
        <is>
          <t>images/8403b47f_firma.png</t>
        </is>
      </c>
    </row>
    <row r="98">
      <c r="A98" s="2" t="inlineStr">
        <is>
          <t>dad0da36</t>
        </is>
      </c>
      <c r="B98" s="2" t="inlineStr">
        <is>
          <t>8AJEMMY4Z9SGE08BG</t>
        </is>
      </c>
      <c r="C98" s="2" t="inlineStr">
        <is>
          <t>2024-11-06</t>
        </is>
      </c>
      <c r="D98" s="3" t="inlineStr">
        <is>
          <t>Puerta trasera izquierda</t>
        </is>
      </c>
      <c r="E98" s="3" t="inlineStr">
        <is>
          <t>Abollado</t>
        </is>
      </c>
      <c r="F98" s="2" t="n">
        <v>5</v>
      </c>
      <c r="G98" s="3" t="inlineStr">
        <is>
          <t>Revisar</t>
        </is>
      </c>
      <c r="H98" s="3" t="inlineStr">
        <is>
          <t>images/dad0da36_foto.jpg</t>
        </is>
      </c>
      <c r="I98" s="3" t="inlineStr">
        <is>
          <t>images/dad0da36_firma.png</t>
        </is>
      </c>
    </row>
    <row r="99">
      <c r="A99" s="4" t="inlineStr">
        <is>
          <t>d8287e03</t>
        </is>
      </c>
      <c r="B99" s="4" t="inlineStr">
        <is>
          <t>8AJEMMY4Z9SGE08BG</t>
        </is>
      </c>
      <c r="C99" s="4" t="inlineStr">
        <is>
          <t>2024-11-06</t>
        </is>
      </c>
      <c r="D99" s="5" t="inlineStr">
        <is>
          <t>Estribo lateral derecho</t>
        </is>
      </c>
      <c r="E99" s="5" t="inlineStr">
        <is>
          <t>Fallo de pintura</t>
        </is>
      </c>
      <c r="F99" s="4" t="n">
        <v>5</v>
      </c>
      <c r="G99" s="5" t="inlineStr">
        <is>
          <t>Revisar</t>
        </is>
      </c>
      <c r="H99" s="5" t="inlineStr">
        <is>
          <t>images/d8287e03_foto.jpg</t>
        </is>
      </c>
      <c r="I99" s="5" t="inlineStr">
        <is>
          <t>images/d8287e03_firma.png</t>
        </is>
      </c>
    </row>
    <row r="100">
      <c r="A100" s="2" t="inlineStr">
        <is>
          <t>255a3f8c</t>
        </is>
      </c>
      <c r="B100" s="2" t="inlineStr">
        <is>
          <t>8AJP3SBYK5BYK3RPR</t>
        </is>
      </c>
      <c r="C100" s="2" t="inlineStr">
        <is>
          <t>2025-02-10</t>
        </is>
      </c>
      <c r="D100" s="3" t="inlineStr">
        <is>
          <t>Puerta delantera izquierda</t>
        </is>
      </c>
      <c r="E100" s="3" t="inlineStr">
        <is>
          <t>Fallo de pintura</t>
        </is>
      </c>
      <c r="F100" s="2" t="n">
        <v>6</v>
      </c>
      <c r="G100" s="3" t="inlineStr"/>
      <c r="H100" s="3" t="inlineStr">
        <is>
          <t>images/255a3f8c_foto.jpg</t>
        </is>
      </c>
      <c r="I100" s="3" t="inlineStr">
        <is>
          <t>images/255a3f8c_firma.png</t>
        </is>
      </c>
    </row>
    <row r="101">
      <c r="A101" s="4" t="inlineStr">
        <is>
          <t>f3562b8a</t>
        </is>
      </c>
      <c r="B101" s="4" t="inlineStr">
        <is>
          <t>8AJN3JCRR9FKDLKR0</t>
        </is>
      </c>
      <c r="C101" s="4" t="inlineStr">
        <is>
          <t>2024-11-27</t>
        </is>
      </c>
      <c r="D101" s="5" t="inlineStr">
        <is>
          <t>Pilar trasero derecho</t>
        </is>
      </c>
      <c r="E101" s="5" t="inlineStr">
        <is>
          <t>Filo de panel</t>
        </is>
      </c>
      <c r="F101" s="4" t="n">
        <v>6</v>
      </c>
      <c r="G101" s="5" t="inlineStr"/>
      <c r="H101" s="5" t="inlineStr">
        <is>
          <t>images/f3562b8a_foto.jpg</t>
        </is>
      </c>
      <c r="I101" s="5" t="inlineStr">
        <is>
          <t>images/f3562b8a_firma.png</t>
        </is>
      </c>
    </row>
    <row r="102">
      <c r="A102" s="2" t="inlineStr">
        <is>
          <t>964972a9</t>
        </is>
      </c>
      <c r="B102" s="2" t="inlineStr">
        <is>
          <t>8AJN3JCRR9FKDLKR0</t>
        </is>
      </c>
      <c r="C102" s="2" t="inlineStr">
        <is>
          <t>2024-11-27</t>
        </is>
      </c>
      <c r="D102" s="3" t="inlineStr">
        <is>
          <t>Puerta trasera derecha</t>
        </is>
      </c>
      <c r="E102" s="3" t="inlineStr">
        <is>
          <t>Filo de panel</t>
        </is>
      </c>
      <c r="F102" s="2" t="n">
        <v>2</v>
      </c>
      <c r="G102" s="3" t="inlineStr"/>
      <c r="H102" s="3" t="inlineStr">
        <is>
          <t>images/964972a9_foto.jpg</t>
        </is>
      </c>
      <c r="I102" s="3" t="inlineStr">
        <is>
          <t>images/964972a9_firma.png</t>
        </is>
      </c>
    </row>
    <row r="103">
      <c r="A103" s="4" t="inlineStr">
        <is>
          <t>bee6eca9</t>
        </is>
      </c>
      <c r="B103" s="4" t="inlineStr">
        <is>
          <t>8AJN3JCRR9FKDLKR0</t>
        </is>
      </c>
      <c r="C103" s="4" t="inlineStr">
        <is>
          <t>2024-11-27</t>
        </is>
      </c>
      <c r="D103" s="5" t="inlineStr">
        <is>
          <t>Guardabarro trasero izquierdo</t>
        </is>
      </c>
      <c r="E103" s="5" t="inlineStr">
        <is>
          <t>Roto</t>
        </is>
      </c>
      <c r="F103" s="4" t="n">
        <v>1</v>
      </c>
      <c r="G103" s="5" t="inlineStr">
        <is>
          <t>Leve</t>
        </is>
      </c>
      <c r="H103" s="5" t="inlineStr">
        <is>
          <t>images/bee6eca9_foto.jpg</t>
        </is>
      </c>
      <c r="I103" s="5" t="inlineStr">
        <is>
          <t>images/bee6eca9_firma.png</t>
        </is>
      </c>
    </row>
    <row r="104">
      <c r="A104" s="2" t="inlineStr">
        <is>
          <t>b2d205ff</t>
        </is>
      </c>
      <c r="B104" s="2" t="inlineStr">
        <is>
          <t>8AJB5M9K98CYM3Z8E</t>
        </is>
      </c>
      <c r="C104" s="2" t="inlineStr">
        <is>
          <t>2024-06-18</t>
        </is>
      </c>
      <c r="D104" s="3" t="inlineStr">
        <is>
          <t>Espejo exterior izquierdo</t>
        </is>
      </c>
      <c r="E104" s="3" t="inlineStr">
        <is>
          <t>Faltante</t>
        </is>
      </c>
      <c r="F104" s="2" t="n">
        <v>4</v>
      </c>
      <c r="G104" s="3" t="inlineStr"/>
      <c r="H104" s="3" t="inlineStr">
        <is>
          <t>images/b2d205ff_foto.jpg</t>
        </is>
      </c>
      <c r="I104" s="3" t="inlineStr">
        <is>
          <t>images/b2d205ff_firma.png</t>
        </is>
      </c>
    </row>
    <row r="105">
      <c r="A105" s="4" t="inlineStr">
        <is>
          <t>12c94933</t>
        </is>
      </c>
      <c r="B105" s="4" t="inlineStr">
        <is>
          <t>8AJC2NNVWZ8N2VUPY</t>
        </is>
      </c>
      <c r="C105" s="4" t="inlineStr">
        <is>
          <t>2024-09-04</t>
        </is>
      </c>
      <c r="D105" s="5" t="inlineStr">
        <is>
          <t>Puerta trasera derecha</t>
        </is>
      </c>
      <c r="E105" s="5" t="inlineStr">
        <is>
          <t>Rayado</t>
        </is>
      </c>
      <c r="F105" s="4" t="n">
        <v>5</v>
      </c>
      <c r="G105" s="5" t="inlineStr"/>
      <c r="H105" s="5" t="inlineStr">
        <is>
          <t>images/12c94933_foto.jpg</t>
        </is>
      </c>
      <c r="I105" s="5" t="inlineStr">
        <is>
          <t>images/12c94933_firma.png</t>
        </is>
      </c>
    </row>
    <row r="106">
      <c r="A106" s="2" t="inlineStr">
        <is>
          <t>b789b5d7</t>
        </is>
      </c>
      <c r="B106" s="2" t="inlineStr">
        <is>
          <t>8AJC2NNVWZ8N2VUPY</t>
        </is>
      </c>
      <c r="C106" s="2" t="inlineStr">
        <is>
          <t>2024-09-04</t>
        </is>
      </c>
      <c r="D106" s="3" t="inlineStr">
        <is>
          <t>Guardabarro trasero derecho</t>
        </is>
      </c>
      <c r="E106" s="3" t="inlineStr">
        <is>
          <t>Mellado</t>
        </is>
      </c>
      <c r="F106" s="2" t="n">
        <v>3</v>
      </c>
      <c r="G106" s="3" t="inlineStr"/>
      <c r="H106" s="3" t="inlineStr">
        <is>
          <t>images/b789b5d7_foto.jpg</t>
        </is>
      </c>
      <c r="I106" s="3" t="inlineStr">
        <is>
          <t>images/b789b5d7_firma.png</t>
        </is>
      </c>
    </row>
    <row r="107">
      <c r="A107" s="4" t="inlineStr">
        <is>
          <t>046bfc1e</t>
        </is>
      </c>
      <c r="B107" s="4" t="inlineStr">
        <is>
          <t>8AJVKKF00FMH93HTM</t>
        </is>
      </c>
      <c r="C107" s="4" t="inlineStr">
        <is>
          <t>2025-03-10</t>
        </is>
      </c>
      <c r="D107" s="5" t="inlineStr">
        <is>
          <t>Optica trasera izquierda</t>
        </is>
      </c>
      <c r="E107" s="5" t="inlineStr">
        <is>
          <t>Cortado</t>
        </is>
      </c>
      <c r="F107" s="4" t="n">
        <v>7</v>
      </c>
      <c r="G107" s="5" t="inlineStr">
        <is>
          <t>Requiere seguimiento</t>
        </is>
      </c>
      <c r="H107" s="5" t="inlineStr">
        <is>
          <t>images/046bfc1e_foto.jpg</t>
        </is>
      </c>
      <c r="I107" s="5" t="inlineStr">
        <is>
          <t>images/046bfc1e_firma.png</t>
        </is>
      </c>
    </row>
    <row r="108">
      <c r="A108" s="2" t="inlineStr">
        <is>
          <t>57360b65</t>
        </is>
      </c>
      <c r="B108" s="2" t="inlineStr">
        <is>
          <t>8AJVKKF00FMH93HTM</t>
        </is>
      </c>
      <c r="C108" s="2" t="inlineStr">
        <is>
          <t>2025-03-10</t>
        </is>
      </c>
      <c r="D108" s="3" t="inlineStr">
        <is>
          <t>Puerta delantera derecha</t>
        </is>
      </c>
      <c r="E108" s="3" t="inlineStr">
        <is>
          <t>Cortado</t>
        </is>
      </c>
      <c r="F108" s="2" t="n">
        <v>9</v>
      </c>
      <c r="G108" s="3" t="inlineStr">
        <is>
          <t>Leve</t>
        </is>
      </c>
      <c r="H108" s="3" t="inlineStr">
        <is>
          <t>images/57360b65_foto.jpg</t>
        </is>
      </c>
      <c r="I108" s="3" t="inlineStr">
        <is>
          <t>images/57360b65_firma.png</t>
        </is>
      </c>
    </row>
    <row r="109">
      <c r="A109" s="4" t="inlineStr">
        <is>
          <t>ec87d0f8</t>
        </is>
      </c>
      <c r="B109" s="4" t="inlineStr">
        <is>
          <t>8AJXCL90U24C9YRZM</t>
        </is>
      </c>
      <c r="C109" s="4" t="inlineStr">
        <is>
          <t>2024-08-06</t>
        </is>
      </c>
      <c r="D109" s="5" t="inlineStr">
        <is>
          <t>Optica delantera izquierda</t>
        </is>
      </c>
      <c r="E109" s="5" t="inlineStr">
        <is>
          <t>Rayado</t>
        </is>
      </c>
      <c r="F109" s="4" t="n">
        <v>8</v>
      </c>
      <c r="G109" s="5" t="inlineStr">
        <is>
          <t>Revisar</t>
        </is>
      </c>
      <c r="H109" s="5" t="inlineStr">
        <is>
          <t>images/ec87d0f8_foto.jpg</t>
        </is>
      </c>
      <c r="I109" s="5" t="inlineStr">
        <is>
          <t>images/ec87d0f8_firma.png</t>
        </is>
      </c>
    </row>
    <row r="110">
      <c r="A110" s="2" t="inlineStr">
        <is>
          <t>a0464d76</t>
        </is>
      </c>
      <c r="B110" s="2" t="inlineStr">
        <is>
          <t>8AJT54ULF7H8UKCG8</t>
        </is>
      </c>
      <c r="C110" s="2" t="inlineStr">
        <is>
          <t>2025-03-01</t>
        </is>
      </c>
      <c r="D110" s="3" t="inlineStr">
        <is>
          <t>Puerta delantera derecha</t>
        </is>
      </c>
      <c r="E110" s="3" t="inlineStr">
        <is>
          <t>Rayado</t>
        </is>
      </c>
      <c r="F110" s="2" t="n">
        <v>8</v>
      </c>
      <c r="G110" s="3" t="inlineStr"/>
      <c r="H110" s="3" t="inlineStr">
        <is>
          <t>images/a0464d76_foto.jpg</t>
        </is>
      </c>
      <c r="I110" s="3" t="inlineStr">
        <is>
          <t>images/a0464d76_firma.png</t>
        </is>
      </c>
    </row>
    <row r="111">
      <c r="A111" s="4" t="inlineStr">
        <is>
          <t>a1829e86</t>
        </is>
      </c>
      <c r="B111" s="4" t="inlineStr">
        <is>
          <t>8AJTF8FY0W4V4ABYW</t>
        </is>
      </c>
      <c r="C111" s="4" t="inlineStr">
        <is>
          <t>2024-06-16</t>
        </is>
      </c>
      <c r="D111" s="5" t="inlineStr">
        <is>
          <t>Parabrisas delantero</t>
        </is>
      </c>
      <c r="E111" s="5" t="inlineStr">
        <is>
          <t>Faltante</t>
        </is>
      </c>
      <c r="F111" s="4" t="n">
        <v>0</v>
      </c>
      <c r="G111" s="5" t="inlineStr"/>
      <c r="H111" s="5" t="inlineStr">
        <is>
          <t>images/a1829e86_foto.jpg</t>
        </is>
      </c>
      <c r="I111" s="5" t="inlineStr">
        <is>
          <t>images/a1829e86_firma.png</t>
        </is>
      </c>
    </row>
    <row r="112">
      <c r="A112" s="2" t="inlineStr">
        <is>
          <t>eee15ab2</t>
        </is>
      </c>
      <c r="B112" s="2" t="inlineStr">
        <is>
          <t>8AJ6VYKJ3PRZFPSME</t>
        </is>
      </c>
      <c r="C112" s="2" t="inlineStr">
        <is>
          <t>2024-12-22</t>
        </is>
      </c>
      <c r="D112" s="3" t="inlineStr">
        <is>
          <t>Zócalo lateral derecho</t>
        </is>
      </c>
      <c r="E112" s="3" t="inlineStr">
        <is>
          <t>Abollado</t>
        </is>
      </c>
      <c r="F112" s="2" t="n">
        <v>1</v>
      </c>
      <c r="G112" s="3" t="inlineStr"/>
      <c r="H112" s="3" t="inlineStr">
        <is>
          <t>images/eee15ab2_foto.jpg</t>
        </is>
      </c>
      <c r="I112" s="3" t="inlineStr">
        <is>
          <t>images/eee15ab2_firma.png</t>
        </is>
      </c>
    </row>
    <row r="113">
      <c r="A113" s="4" t="inlineStr">
        <is>
          <t>a1bbf928</t>
        </is>
      </c>
      <c r="B113" s="4" t="inlineStr">
        <is>
          <t>8AJ2TDHEREB85P863</t>
        </is>
      </c>
      <c r="C113" s="4" t="inlineStr">
        <is>
          <t>2024-09-06</t>
        </is>
      </c>
      <c r="D113" s="5" t="inlineStr">
        <is>
          <t>Paragolpe trasero</t>
        </is>
      </c>
      <c r="E113" s="5" t="inlineStr">
        <is>
          <t>Mellado</t>
        </is>
      </c>
      <c r="F113" s="4" t="n">
        <v>5</v>
      </c>
      <c r="G113" s="5" t="inlineStr">
        <is>
          <t>Leve</t>
        </is>
      </c>
      <c r="H113" s="5" t="inlineStr">
        <is>
          <t>images/a1bbf928_foto.jpg</t>
        </is>
      </c>
      <c r="I113" s="5" t="inlineStr">
        <is>
          <t>images/a1bbf928_firma.png</t>
        </is>
      </c>
    </row>
    <row r="114">
      <c r="A114" s="2" t="inlineStr">
        <is>
          <t>dd22c04b</t>
        </is>
      </c>
      <c r="B114" s="2" t="inlineStr">
        <is>
          <t>8AJ2TDHEREB85P863</t>
        </is>
      </c>
      <c r="C114" s="2" t="inlineStr">
        <is>
          <t>2024-09-06</t>
        </is>
      </c>
      <c r="D114" s="3" t="inlineStr">
        <is>
          <t>Optica trasera izquierda</t>
        </is>
      </c>
      <c r="E114" s="3" t="inlineStr">
        <is>
          <t>Fallo de pintura</t>
        </is>
      </c>
      <c r="F114" s="2" t="n">
        <v>2</v>
      </c>
      <c r="G114" s="3" t="inlineStr"/>
      <c r="H114" s="3" t="inlineStr">
        <is>
          <t>images/dd22c04b_foto.jpg</t>
        </is>
      </c>
      <c r="I114" s="3" t="inlineStr">
        <is>
          <t>images/dd22c04b_firma.png</t>
        </is>
      </c>
    </row>
    <row r="115">
      <c r="A115" s="4" t="inlineStr">
        <is>
          <t>f0c077c9</t>
        </is>
      </c>
      <c r="B115" s="4" t="inlineStr">
        <is>
          <t>8AJTTTLA8T8HMBT6Y</t>
        </is>
      </c>
      <c r="C115" s="4" t="inlineStr">
        <is>
          <t>2024-07-26</t>
        </is>
      </c>
      <c r="D115" s="5" t="inlineStr">
        <is>
          <t>Techo</t>
        </is>
      </c>
      <c r="E115" s="5" t="inlineStr">
        <is>
          <t>Filo de panel</t>
        </is>
      </c>
      <c r="F115" s="4" t="n">
        <v>3</v>
      </c>
      <c r="G115" s="5" t="inlineStr">
        <is>
          <t>Leve</t>
        </is>
      </c>
      <c r="H115" s="5" t="inlineStr">
        <is>
          <t>images/f0c077c9_foto.jpg</t>
        </is>
      </c>
      <c r="I115" s="5" t="inlineStr">
        <is>
          <t>images/f0c077c9_firma.png</t>
        </is>
      </c>
    </row>
    <row r="116">
      <c r="A116" s="2" t="inlineStr">
        <is>
          <t>a7790e4a</t>
        </is>
      </c>
      <c r="B116" s="2" t="inlineStr">
        <is>
          <t>8AJTTTLA8T8HMBT6Y</t>
        </is>
      </c>
      <c r="C116" s="2" t="inlineStr">
        <is>
          <t>2024-07-26</t>
        </is>
      </c>
      <c r="D116" s="3" t="inlineStr">
        <is>
          <t>Pilar delantero izquierdo</t>
        </is>
      </c>
      <c r="E116" s="3" t="inlineStr">
        <is>
          <t>Filo de panel</t>
        </is>
      </c>
      <c r="F116" s="2" t="n">
        <v>0</v>
      </c>
      <c r="G116" s="3" t="inlineStr"/>
      <c r="H116" s="3" t="inlineStr">
        <is>
          <t>images/a7790e4a_foto.jpg</t>
        </is>
      </c>
      <c r="I116" s="3" t="inlineStr">
        <is>
          <t>images/a7790e4a_firma.png</t>
        </is>
      </c>
    </row>
    <row r="117">
      <c r="A117" s="4" t="inlineStr">
        <is>
          <t>2a0dad4e</t>
        </is>
      </c>
      <c r="B117" s="4" t="inlineStr">
        <is>
          <t>8AJTTTLA8T8HMBT6Y</t>
        </is>
      </c>
      <c r="C117" s="4" t="inlineStr">
        <is>
          <t>2024-07-26</t>
        </is>
      </c>
      <c r="D117" s="5" t="inlineStr">
        <is>
          <t>Paragolpe trasero</t>
        </is>
      </c>
      <c r="E117" s="5" t="inlineStr">
        <is>
          <t>Abollado</t>
        </is>
      </c>
      <c r="F117" s="4" t="n">
        <v>6</v>
      </c>
      <c r="G117" s="5" t="inlineStr"/>
      <c r="H117" s="5" t="inlineStr">
        <is>
          <t>images/2a0dad4e_foto.jpg</t>
        </is>
      </c>
      <c r="I117" s="5" t="inlineStr">
        <is>
          <t>images/2a0dad4e_firma.png</t>
        </is>
      </c>
    </row>
    <row r="118">
      <c r="A118" s="2" t="inlineStr">
        <is>
          <t>b98fb50c</t>
        </is>
      </c>
      <c r="B118" s="2" t="inlineStr">
        <is>
          <t>8AJ91KM4U0K3NZ9W3</t>
        </is>
      </c>
      <c r="C118" s="2" t="inlineStr">
        <is>
          <t>2024-10-14</t>
        </is>
      </c>
      <c r="D118" s="3" t="inlineStr">
        <is>
          <t>Parabrisas delantero</t>
        </is>
      </c>
      <c r="E118" s="3" t="inlineStr">
        <is>
          <t>Roto</t>
        </is>
      </c>
      <c r="F118" s="2" t="n">
        <v>6</v>
      </c>
      <c r="G118" s="3" t="inlineStr"/>
      <c r="H118" s="3" t="inlineStr">
        <is>
          <t>images/b98fb50c_foto.jpg</t>
        </is>
      </c>
      <c r="I118" s="3" t="inlineStr">
        <is>
          <t>images/b98fb50c_firma.png</t>
        </is>
      </c>
    </row>
    <row r="119">
      <c r="A119" s="4" t="inlineStr">
        <is>
          <t>cd171d56</t>
        </is>
      </c>
      <c r="B119" s="4" t="inlineStr">
        <is>
          <t>8AJ91KM4U0K3NZ9W3</t>
        </is>
      </c>
      <c r="C119" s="4" t="inlineStr">
        <is>
          <t>2024-10-14</t>
        </is>
      </c>
      <c r="D119" s="5" t="inlineStr">
        <is>
          <t>Capot</t>
        </is>
      </c>
      <c r="E119" s="5" t="inlineStr">
        <is>
          <t>Filo de panel</t>
        </is>
      </c>
      <c r="F119" s="4" t="n">
        <v>9</v>
      </c>
      <c r="G119" s="5" t="inlineStr"/>
      <c r="H119" s="5" t="inlineStr">
        <is>
          <t>images/cd171d56_foto.jpg</t>
        </is>
      </c>
      <c r="I119" s="5" t="inlineStr">
        <is>
          <t>images/cd171d56_firma.png</t>
        </is>
      </c>
    </row>
    <row r="120">
      <c r="A120" s="2" t="inlineStr">
        <is>
          <t>af7bef49</t>
        </is>
      </c>
      <c r="B120" s="2" t="inlineStr">
        <is>
          <t>8AJ2751CEGLYULF7M</t>
        </is>
      </c>
      <c r="C120" s="2" t="inlineStr">
        <is>
          <t>2025-02-03</t>
        </is>
      </c>
      <c r="D120" s="3" t="inlineStr">
        <is>
          <t>Parabrisas delantero</t>
        </is>
      </c>
      <c r="E120" s="3" t="inlineStr">
        <is>
          <t>Fallo de pintura</t>
        </is>
      </c>
      <c r="F120" s="2" t="n">
        <v>8</v>
      </c>
      <c r="G120" s="3" t="inlineStr">
        <is>
          <t>Leve</t>
        </is>
      </c>
      <c r="H120" s="3" t="inlineStr">
        <is>
          <t>images/af7bef49_foto.jpg</t>
        </is>
      </c>
      <c r="I120" s="3" t="inlineStr">
        <is>
          <t>images/af7bef49_firma.png</t>
        </is>
      </c>
    </row>
    <row r="121">
      <c r="A121" s="4" t="inlineStr">
        <is>
          <t>f5298a72</t>
        </is>
      </c>
      <c r="B121" s="4" t="inlineStr">
        <is>
          <t>8AJ2751CEGLYULF7M</t>
        </is>
      </c>
      <c r="C121" s="4" t="inlineStr">
        <is>
          <t>2025-02-03</t>
        </is>
      </c>
      <c r="D121" s="5" t="inlineStr">
        <is>
          <t>Puerta delantera derecha</t>
        </is>
      </c>
      <c r="E121" s="5" t="inlineStr">
        <is>
          <t>Filo de panel</t>
        </is>
      </c>
      <c r="F121" s="4" t="n">
        <v>4</v>
      </c>
      <c r="G121" s="5" t="inlineStr"/>
      <c r="H121" s="5" t="inlineStr">
        <is>
          <t>images/f5298a72_foto.jpg</t>
        </is>
      </c>
      <c r="I121" s="5" t="inlineStr">
        <is>
          <t>images/f5298a72_firma.png</t>
        </is>
      </c>
    </row>
    <row r="122">
      <c r="A122" s="2" t="inlineStr">
        <is>
          <t>1dcf658a</t>
        </is>
      </c>
      <c r="B122" s="2" t="inlineStr">
        <is>
          <t>8AJZUYBP0D2AV7P75</t>
        </is>
      </c>
      <c r="C122" s="2" t="inlineStr">
        <is>
          <t>2024-10-26</t>
        </is>
      </c>
      <c r="D122" s="3" t="inlineStr">
        <is>
          <t>Paragolpe delantero</t>
        </is>
      </c>
      <c r="E122" s="3" t="inlineStr">
        <is>
          <t>Filo de panel</t>
        </is>
      </c>
      <c r="F122" s="2" t="n">
        <v>4</v>
      </c>
      <c r="G122" s="3" t="inlineStr"/>
      <c r="H122" s="3" t="inlineStr">
        <is>
          <t>images/1dcf658a_foto.jpg</t>
        </is>
      </c>
      <c r="I122" s="3" t="inlineStr">
        <is>
          <t>images/1dcf658a_firma.png</t>
        </is>
      </c>
    </row>
    <row r="123">
      <c r="A123" s="4" t="inlineStr">
        <is>
          <t>4850a5b9</t>
        </is>
      </c>
      <c r="B123" s="4" t="inlineStr">
        <is>
          <t>8AJKB2YH15B7P47B4</t>
        </is>
      </c>
      <c r="C123" s="4" t="inlineStr">
        <is>
          <t>2024-06-20</t>
        </is>
      </c>
      <c r="D123" s="5" t="inlineStr">
        <is>
          <t>Paragolpe delantero</t>
        </is>
      </c>
      <c r="E123" s="5" t="inlineStr">
        <is>
          <t>Mellado</t>
        </is>
      </c>
      <c r="F123" s="4" t="n">
        <v>3</v>
      </c>
      <c r="G123" s="5" t="inlineStr"/>
      <c r="H123" s="5" t="inlineStr">
        <is>
          <t>images/4850a5b9_foto.jpg</t>
        </is>
      </c>
      <c r="I123" s="5" t="inlineStr">
        <is>
          <t>images/4850a5b9_firma.png</t>
        </is>
      </c>
    </row>
    <row r="124">
      <c r="A124" s="2" t="inlineStr">
        <is>
          <t>de770227</t>
        </is>
      </c>
      <c r="B124" s="2" t="inlineStr">
        <is>
          <t>8AJKB2YH15B7P47B4</t>
        </is>
      </c>
      <c r="C124" s="2" t="inlineStr">
        <is>
          <t>2024-06-20</t>
        </is>
      </c>
      <c r="D124" s="3" t="inlineStr">
        <is>
          <t>Pilar trasero derecho</t>
        </is>
      </c>
      <c r="E124" s="3" t="inlineStr">
        <is>
          <t>Desprendido</t>
        </is>
      </c>
      <c r="F124" s="2" t="n">
        <v>5</v>
      </c>
      <c r="G124" s="3" t="inlineStr">
        <is>
          <t>Revisar</t>
        </is>
      </c>
      <c r="H124" s="3" t="inlineStr">
        <is>
          <t>images/de770227_foto.jpg</t>
        </is>
      </c>
      <c r="I124" s="3" t="inlineStr">
        <is>
          <t>images/de770227_firma.png</t>
        </is>
      </c>
    </row>
    <row r="125">
      <c r="A125" s="4" t="inlineStr">
        <is>
          <t>6bd4b583</t>
        </is>
      </c>
      <c r="B125" s="4" t="inlineStr">
        <is>
          <t>8AJKW7MRYU6ETK3L1</t>
        </is>
      </c>
      <c r="C125" s="4" t="inlineStr">
        <is>
          <t>2024-06-08</t>
        </is>
      </c>
      <c r="D125" s="5" t="inlineStr">
        <is>
          <t>Puerta trasera derecha</t>
        </is>
      </c>
      <c r="E125" s="5" t="inlineStr">
        <is>
          <t>Roto</t>
        </is>
      </c>
      <c r="F125" s="4" t="n">
        <v>5</v>
      </c>
      <c r="G125" s="5" t="inlineStr"/>
      <c r="H125" s="5" t="inlineStr">
        <is>
          <t>images/6bd4b583_foto.jpg</t>
        </is>
      </c>
      <c r="I125" s="5" t="inlineStr">
        <is>
          <t>images/6bd4b583_firma.png</t>
        </is>
      </c>
    </row>
    <row r="126">
      <c r="A126" s="2" t="inlineStr">
        <is>
          <t>f40fad96</t>
        </is>
      </c>
      <c r="B126" s="2" t="inlineStr">
        <is>
          <t>8AJKW7MRYU6ETK3L1</t>
        </is>
      </c>
      <c r="C126" s="2" t="inlineStr">
        <is>
          <t>2024-06-08</t>
        </is>
      </c>
      <c r="D126" s="3" t="inlineStr">
        <is>
          <t>Puerta delantera derecha</t>
        </is>
      </c>
      <c r="E126" s="3" t="inlineStr">
        <is>
          <t>Abollado</t>
        </is>
      </c>
      <c r="F126" s="2" t="n">
        <v>4</v>
      </c>
      <c r="G126" s="3" t="inlineStr">
        <is>
          <t>Requiere seguimiento</t>
        </is>
      </c>
      <c r="H126" s="3" t="inlineStr">
        <is>
          <t>images/f40fad96_foto.jpg</t>
        </is>
      </c>
      <c r="I126" s="3" t="inlineStr">
        <is>
          <t>images/f40fad96_firma.png</t>
        </is>
      </c>
    </row>
    <row r="127">
      <c r="A127" s="4" t="inlineStr">
        <is>
          <t>b41e5d48</t>
        </is>
      </c>
      <c r="B127" s="4" t="inlineStr">
        <is>
          <t>8AJ3V1F564UCZGELJ</t>
        </is>
      </c>
      <c r="C127" s="4" t="inlineStr">
        <is>
          <t>2025-01-15</t>
        </is>
      </c>
      <c r="D127" s="5" t="inlineStr">
        <is>
          <t>Guardabarro trasero izquierdo</t>
        </is>
      </c>
      <c r="E127" s="5" t="inlineStr">
        <is>
          <t>Abollado</t>
        </is>
      </c>
      <c r="F127" s="4" t="n">
        <v>5</v>
      </c>
      <c r="G127" s="5" t="inlineStr"/>
      <c r="H127" s="5" t="inlineStr">
        <is>
          <t>images/b41e5d48_foto.jpg</t>
        </is>
      </c>
      <c r="I127" s="5" t="inlineStr">
        <is>
          <t>images/b41e5d48_firma.png</t>
        </is>
      </c>
    </row>
    <row r="128">
      <c r="A128" s="2" t="inlineStr">
        <is>
          <t>ce70783e</t>
        </is>
      </c>
      <c r="B128" s="2" t="inlineStr">
        <is>
          <t>8AJ3V1F564UCZGELJ</t>
        </is>
      </c>
      <c r="C128" s="2" t="inlineStr">
        <is>
          <t>2025-01-15</t>
        </is>
      </c>
      <c r="D128" s="3" t="inlineStr">
        <is>
          <t>Zócalo lateral derecho</t>
        </is>
      </c>
      <c r="E128" s="3" t="inlineStr">
        <is>
          <t>Desprendido</t>
        </is>
      </c>
      <c r="F128" s="2" t="n">
        <v>4</v>
      </c>
      <c r="G128" s="3" t="inlineStr"/>
      <c r="H128" s="3" t="inlineStr">
        <is>
          <t>images/ce70783e_foto.jpg</t>
        </is>
      </c>
      <c r="I128" s="3" t="inlineStr">
        <is>
          <t>images/ce70783e_firma.png</t>
        </is>
      </c>
    </row>
    <row r="129">
      <c r="A129" s="4" t="inlineStr">
        <is>
          <t>2ddfa2b7</t>
        </is>
      </c>
      <c r="B129" s="4" t="inlineStr">
        <is>
          <t>8AJ3V1F564UCZGELJ</t>
        </is>
      </c>
      <c r="C129" s="4" t="inlineStr">
        <is>
          <t>2025-01-15</t>
        </is>
      </c>
      <c r="D129" s="5" t="inlineStr">
        <is>
          <t>Puerta trasera izquierda</t>
        </is>
      </c>
      <c r="E129" s="5" t="inlineStr">
        <is>
          <t>Desprendido</t>
        </is>
      </c>
      <c r="F129" s="4" t="n">
        <v>1</v>
      </c>
      <c r="G129" s="5" t="inlineStr"/>
      <c r="H129" s="5" t="inlineStr">
        <is>
          <t>images/2ddfa2b7_foto.jpg</t>
        </is>
      </c>
      <c r="I129" s="5" t="inlineStr">
        <is>
          <t>images/2ddfa2b7_firma.png</t>
        </is>
      </c>
    </row>
    <row r="130">
      <c r="A130" s="2" t="inlineStr">
        <is>
          <t>0dd5e1cb</t>
        </is>
      </c>
      <c r="B130" s="2" t="inlineStr">
        <is>
          <t>8AJ8K0AYZCDLPT60L</t>
        </is>
      </c>
      <c r="C130" s="2" t="inlineStr">
        <is>
          <t>2024-12-06</t>
        </is>
      </c>
      <c r="D130" s="3" t="inlineStr">
        <is>
          <t>Paragolpe delantero</t>
        </is>
      </c>
      <c r="E130" s="3" t="inlineStr">
        <is>
          <t>Cortado</t>
        </is>
      </c>
      <c r="F130" s="2" t="n">
        <v>4</v>
      </c>
      <c r="G130" s="3" t="inlineStr">
        <is>
          <t>Requiere seguimiento</t>
        </is>
      </c>
      <c r="H130" s="3" t="inlineStr">
        <is>
          <t>images/0dd5e1cb_foto.jpg</t>
        </is>
      </c>
      <c r="I130" s="3" t="inlineStr">
        <is>
          <t>images/0dd5e1cb_firma.png</t>
        </is>
      </c>
    </row>
    <row r="131">
      <c r="A131" s="4" t="inlineStr">
        <is>
          <t>53457124</t>
        </is>
      </c>
      <c r="B131" s="4" t="inlineStr">
        <is>
          <t>8AJH8SS9N071342ZW</t>
        </is>
      </c>
      <c r="C131" s="4" t="inlineStr">
        <is>
          <t>2025-02-26</t>
        </is>
      </c>
      <c r="D131" s="5" t="inlineStr">
        <is>
          <t>Paragolpe delantero</t>
        </is>
      </c>
      <c r="E131" s="5" t="inlineStr">
        <is>
          <t>Cortado</t>
        </is>
      </c>
      <c r="F131" s="4" t="n">
        <v>8</v>
      </c>
      <c r="G131" s="5" t="inlineStr">
        <is>
          <t>Leve</t>
        </is>
      </c>
      <c r="H131" s="5" t="inlineStr">
        <is>
          <t>images/53457124_foto.jpg</t>
        </is>
      </c>
      <c r="I131" s="5" t="inlineStr">
        <is>
          <t>images/53457124_firma.png</t>
        </is>
      </c>
    </row>
    <row r="132">
      <c r="A132" s="2" t="inlineStr">
        <is>
          <t>1884fc92</t>
        </is>
      </c>
      <c r="B132" s="2" t="inlineStr">
        <is>
          <t>8AJH8SS9N071342ZW</t>
        </is>
      </c>
      <c r="C132" s="2" t="inlineStr">
        <is>
          <t>2025-02-26</t>
        </is>
      </c>
      <c r="D132" s="3" t="inlineStr">
        <is>
          <t>Espejo exterior izquierdo</t>
        </is>
      </c>
      <c r="E132" s="3" t="inlineStr">
        <is>
          <t>Cortado</t>
        </is>
      </c>
      <c r="F132" s="2" t="n">
        <v>5</v>
      </c>
      <c r="G132" s="3" t="inlineStr">
        <is>
          <t>Leve</t>
        </is>
      </c>
      <c r="H132" s="3" t="inlineStr">
        <is>
          <t>images/1884fc92_foto.jpg</t>
        </is>
      </c>
      <c r="I132" s="3" t="inlineStr">
        <is>
          <t>images/1884fc92_firma.png</t>
        </is>
      </c>
    </row>
    <row r="133">
      <c r="A133" s="4" t="inlineStr">
        <is>
          <t>727a1062</t>
        </is>
      </c>
      <c r="B133" s="4" t="inlineStr">
        <is>
          <t>8AJH8SS9N071342ZW</t>
        </is>
      </c>
      <c r="C133" s="4" t="inlineStr">
        <is>
          <t>2025-02-26</t>
        </is>
      </c>
      <c r="D133" s="5" t="inlineStr">
        <is>
          <t>Puerta delantera derecha</t>
        </is>
      </c>
      <c r="E133" s="5" t="inlineStr">
        <is>
          <t>Cortado</t>
        </is>
      </c>
      <c r="F133" s="4" t="n">
        <v>7</v>
      </c>
      <c r="G133" s="5" t="inlineStr">
        <is>
          <t>Leve</t>
        </is>
      </c>
      <c r="H133" s="5" t="inlineStr">
        <is>
          <t>images/727a1062_foto.jpg</t>
        </is>
      </c>
      <c r="I133" s="5" t="inlineStr">
        <is>
          <t>images/727a1062_firma.png</t>
        </is>
      </c>
    </row>
    <row r="134">
      <c r="A134" s="2" t="inlineStr">
        <is>
          <t>53cc1ec9</t>
        </is>
      </c>
      <c r="B134" s="2" t="inlineStr">
        <is>
          <t>8AJCVCVTVELUDGWDT</t>
        </is>
      </c>
      <c r="C134" s="2" t="inlineStr">
        <is>
          <t>2025-02-18</t>
        </is>
      </c>
      <c r="D134" s="3" t="inlineStr">
        <is>
          <t>Guardabarro delantero derecho</t>
        </is>
      </c>
      <c r="E134" s="3" t="inlineStr">
        <is>
          <t>Faltante</t>
        </is>
      </c>
      <c r="F134" s="2" t="n">
        <v>1</v>
      </c>
      <c r="G134" s="3" t="inlineStr">
        <is>
          <t>Revisar</t>
        </is>
      </c>
      <c r="H134" s="3" t="inlineStr">
        <is>
          <t>images/53cc1ec9_foto.jpg</t>
        </is>
      </c>
      <c r="I134" s="3" t="inlineStr">
        <is>
          <t>images/53cc1ec9_firma.png</t>
        </is>
      </c>
    </row>
    <row r="135">
      <c r="A135" s="4" t="inlineStr">
        <is>
          <t>ac7f2e45</t>
        </is>
      </c>
      <c r="B135" s="4" t="inlineStr">
        <is>
          <t>8AJSBS30P31WBMC97</t>
        </is>
      </c>
      <c r="C135" s="4" t="inlineStr">
        <is>
          <t>2024-10-25</t>
        </is>
      </c>
      <c r="D135" s="5" t="inlineStr">
        <is>
          <t>Guardabarro trasero izquierdo</t>
        </is>
      </c>
      <c r="E135" s="5" t="inlineStr">
        <is>
          <t>Roto</t>
        </is>
      </c>
      <c r="F135" s="4" t="n">
        <v>5</v>
      </c>
      <c r="G135" s="5" t="inlineStr">
        <is>
          <t>Revisar</t>
        </is>
      </c>
      <c r="H135" s="5" t="inlineStr">
        <is>
          <t>images/ac7f2e45_foto.jpg</t>
        </is>
      </c>
      <c r="I135" s="5" t="inlineStr">
        <is>
          <t>images/ac7f2e45_firma.png</t>
        </is>
      </c>
    </row>
    <row r="136">
      <c r="A136" s="2" t="inlineStr">
        <is>
          <t>117d4598</t>
        </is>
      </c>
      <c r="B136" s="2" t="inlineStr">
        <is>
          <t>8AJFEY18N6R7NC85E</t>
        </is>
      </c>
      <c r="C136" s="2" t="inlineStr">
        <is>
          <t>2025-03-03</t>
        </is>
      </c>
      <c r="D136" s="3" t="inlineStr">
        <is>
          <t>Optica delantera izquierda</t>
        </is>
      </c>
      <c r="E136" s="3" t="inlineStr">
        <is>
          <t>Abollado</t>
        </is>
      </c>
      <c r="F136" s="2" t="n">
        <v>5</v>
      </c>
      <c r="G136" s="3" t="inlineStr">
        <is>
          <t>Leve</t>
        </is>
      </c>
      <c r="H136" s="3" t="inlineStr">
        <is>
          <t>images/117d4598_foto.jpg</t>
        </is>
      </c>
      <c r="I136" s="3" t="inlineStr">
        <is>
          <t>images/117d4598_firma.png</t>
        </is>
      </c>
    </row>
    <row r="137">
      <c r="A137" s="4" t="inlineStr">
        <is>
          <t>c86698f6</t>
        </is>
      </c>
      <c r="B137" s="4" t="inlineStr">
        <is>
          <t>8AJU1HAAKZUU4JMK7</t>
        </is>
      </c>
      <c r="C137" s="4" t="inlineStr">
        <is>
          <t>2024-06-09</t>
        </is>
      </c>
      <c r="D137" s="5" t="inlineStr">
        <is>
          <t>Parabrisas delantero</t>
        </is>
      </c>
      <c r="E137" s="5" t="inlineStr">
        <is>
          <t>Filo de panel</t>
        </is>
      </c>
      <c r="F137" s="4" t="n">
        <v>9</v>
      </c>
      <c r="G137" s="5" t="inlineStr">
        <is>
          <t>Revisar</t>
        </is>
      </c>
      <c r="H137" s="5" t="inlineStr">
        <is>
          <t>images/c86698f6_foto.jpg</t>
        </is>
      </c>
      <c r="I137" s="5" t="inlineStr">
        <is>
          <t>images/c86698f6_firma.png</t>
        </is>
      </c>
    </row>
    <row r="138">
      <c r="A138" s="2" t="inlineStr">
        <is>
          <t>6c83a1e9</t>
        </is>
      </c>
      <c r="B138" s="2" t="inlineStr">
        <is>
          <t>8AJGDBW0B1PHH5BTK</t>
        </is>
      </c>
      <c r="C138" s="2" t="inlineStr">
        <is>
          <t>2024-09-30</t>
        </is>
      </c>
      <c r="D138" s="3" t="inlineStr">
        <is>
          <t>Techo</t>
        </is>
      </c>
      <c r="E138" s="3" t="inlineStr">
        <is>
          <t>Abollado</t>
        </is>
      </c>
      <c r="F138" s="2" t="n">
        <v>9</v>
      </c>
      <c r="G138" s="3" t="inlineStr">
        <is>
          <t>Leve</t>
        </is>
      </c>
      <c r="H138" s="3" t="inlineStr">
        <is>
          <t>images/6c83a1e9_foto.jpg</t>
        </is>
      </c>
      <c r="I138" s="3" t="inlineStr">
        <is>
          <t>images/6c83a1e9_firma.png</t>
        </is>
      </c>
    </row>
    <row r="139">
      <c r="A139" s="4" t="inlineStr">
        <is>
          <t>78d2f11d</t>
        </is>
      </c>
      <c r="B139" s="4" t="inlineStr">
        <is>
          <t>8AJGDBW0B1PHH5BTK</t>
        </is>
      </c>
      <c r="C139" s="4" t="inlineStr">
        <is>
          <t>2024-09-30</t>
        </is>
      </c>
      <c r="D139" s="5" t="inlineStr">
        <is>
          <t>Zócalo lateral izquierdo</t>
        </is>
      </c>
      <c r="E139" s="5" t="inlineStr">
        <is>
          <t>Doblado</t>
        </is>
      </c>
      <c r="F139" s="4" t="n">
        <v>5</v>
      </c>
      <c r="G139" s="5" t="inlineStr">
        <is>
          <t>Revisar</t>
        </is>
      </c>
      <c r="H139" s="5" t="inlineStr">
        <is>
          <t>images/78d2f11d_foto.jpg</t>
        </is>
      </c>
      <c r="I139" s="5" t="inlineStr">
        <is>
          <t>images/78d2f11d_firma.png</t>
        </is>
      </c>
    </row>
    <row r="140">
      <c r="A140" s="2" t="inlineStr">
        <is>
          <t>0329ccca</t>
        </is>
      </c>
      <c r="B140" s="2" t="inlineStr">
        <is>
          <t>8AJ59UPKVW1FZVBMY</t>
        </is>
      </c>
      <c r="C140" s="2" t="inlineStr">
        <is>
          <t>2024-12-31</t>
        </is>
      </c>
      <c r="D140" s="3" t="inlineStr">
        <is>
          <t>Optica trasera izquierda</t>
        </is>
      </c>
      <c r="E140" s="3" t="inlineStr">
        <is>
          <t>Desprendido</t>
        </is>
      </c>
      <c r="F140" s="2" t="n">
        <v>4</v>
      </c>
      <c r="G140" s="3" t="inlineStr">
        <is>
          <t>Revisar</t>
        </is>
      </c>
      <c r="H140" s="3" t="inlineStr">
        <is>
          <t>images/0329ccca_foto.jpg</t>
        </is>
      </c>
      <c r="I140" s="3" t="inlineStr">
        <is>
          <t>images/0329ccca_firma.png</t>
        </is>
      </c>
    </row>
    <row r="141">
      <c r="A141" s="4" t="inlineStr">
        <is>
          <t>73e4caee</t>
        </is>
      </c>
      <c r="B141" s="4" t="inlineStr">
        <is>
          <t>8AJEN1S5K037V8VEJ</t>
        </is>
      </c>
      <c r="C141" s="4" t="inlineStr">
        <is>
          <t>2025-01-17</t>
        </is>
      </c>
      <c r="D141" s="5" t="inlineStr">
        <is>
          <t>Puerta trasera izquierda</t>
        </is>
      </c>
      <c r="E141" s="5" t="inlineStr">
        <is>
          <t>Roto</t>
        </is>
      </c>
      <c r="F141" s="4" t="n">
        <v>1</v>
      </c>
      <c r="G141" s="5" t="inlineStr">
        <is>
          <t>Leve</t>
        </is>
      </c>
      <c r="H141" s="5" t="inlineStr">
        <is>
          <t>images/73e4caee_foto.jpg</t>
        </is>
      </c>
      <c r="I141" s="5" t="inlineStr">
        <is>
          <t>images/73e4caee_firma.png</t>
        </is>
      </c>
    </row>
    <row r="142">
      <c r="A142" s="2" t="inlineStr">
        <is>
          <t>624580bd</t>
        </is>
      </c>
      <c r="B142" s="2" t="inlineStr">
        <is>
          <t>8AJ7Z0PHLKSYLM6S3</t>
        </is>
      </c>
      <c r="C142" s="2" t="inlineStr">
        <is>
          <t>2024-09-13</t>
        </is>
      </c>
      <c r="D142" s="3" t="inlineStr">
        <is>
          <t>Optica delantera derecha</t>
        </is>
      </c>
      <c r="E142" s="3" t="inlineStr">
        <is>
          <t>Abollado</t>
        </is>
      </c>
      <c r="F142" s="2" t="n">
        <v>4</v>
      </c>
      <c r="G142" s="3" t="inlineStr"/>
      <c r="H142" s="3" t="inlineStr">
        <is>
          <t>images/624580bd_foto.jpg</t>
        </is>
      </c>
      <c r="I142" s="3" t="inlineStr">
        <is>
          <t>images/624580bd_firma.png</t>
        </is>
      </c>
    </row>
    <row r="143">
      <c r="A143" s="4" t="inlineStr">
        <is>
          <t>3b65668a</t>
        </is>
      </c>
      <c r="B143" s="4" t="inlineStr">
        <is>
          <t>8AJ7Z0PHLKSYLM6S3</t>
        </is>
      </c>
      <c r="C143" s="4" t="inlineStr">
        <is>
          <t>2024-09-13</t>
        </is>
      </c>
      <c r="D143" s="5" t="inlineStr">
        <is>
          <t>Techo</t>
        </is>
      </c>
      <c r="E143" s="5" t="inlineStr">
        <is>
          <t>Mellado</t>
        </is>
      </c>
      <c r="F143" s="4" t="n">
        <v>3</v>
      </c>
      <c r="G143" s="5" t="inlineStr">
        <is>
          <t>Leve</t>
        </is>
      </c>
      <c r="H143" s="5" t="inlineStr">
        <is>
          <t>images/3b65668a_foto.jpg</t>
        </is>
      </c>
      <c r="I143" s="5" t="inlineStr">
        <is>
          <t>images/3b65668a_firma.png</t>
        </is>
      </c>
    </row>
    <row r="144">
      <c r="A144" s="2" t="inlineStr">
        <is>
          <t>6ed2fa21</t>
        </is>
      </c>
      <c r="B144" s="2" t="inlineStr">
        <is>
          <t>8AJ7Z0PHLKSYLM6S3</t>
        </is>
      </c>
      <c r="C144" s="2" t="inlineStr">
        <is>
          <t>2024-09-13</t>
        </is>
      </c>
      <c r="D144" s="3" t="inlineStr">
        <is>
          <t>Paragolpe delantero</t>
        </is>
      </c>
      <c r="E144" s="3" t="inlineStr">
        <is>
          <t>Mellado</t>
        </is>
      </c>
      <c r="F144" s="2" t="n">
        <v>7</v>
      </c>
      <c r="G144" s="3" t="inlineStr">
        <is>
          <t>Requiere seguimiento</t>
        </is>
      </c>
      <c r="H144" s="3" t="inlineStr">
        <is>
          <t>images/6ed2fa21_foto.jpg</t>
        </is>
      </c>
      <c r="I144" s="3" t="inlineStr">
        <is>
          <t>images/6ed2fa21_firma.png</t>
        </is>
      </c>
    </row>
    <row r="145">
      <c r="A145" s="4" t="inlineStr">
        <is>
          <t>6f1a67c9</t>
        </is>
      </c>
      <c r="B145" s="4" t="inlineStr">
        <is>
          <t>8AJ7Z0PHLKSYLM6S3</t>
        </is>
      </c>
      <c r="C145" s="4" t="inlineStr">
        <is>
          <t>2024-09-13</t>
        </is>
      </c>
      <c r="D145" s="5" t="inlineStr">
        <is>
          <t>Optica trasera derecha</t>
        </is>
      </c>
      <c r="E145" s="5" t="inlineStr">
        <is>
          <t>Cortado</t>
        </is>
      </c>
      <c r="F145" s="4" t="n">
        <v>2</v>
      </c>
      <c r="G145" s="5" t="inlineStr">
        <is>
          <t>Revisar</t>
        </is>
      </c>
      <c r="H145" s="5" t="inlineStr">
        <is>
          <t>images/6f1a67c9_foto.jpg</t>
        </is>
      </c>
      <c r="I145" s="5" t="inlineStr">
        <is>
          <t>images/6f1a67c9_firma.png</t>
        </is>
      </c>
    </row>
    <row r="146">
      <c r="A146" s="2" t="inlineStr">
        <is>
          <t>875299d3</t>
        </is>
      </c>
      <c r="B146" s="2" t="inlineStr">
        <is>
          <t>8AJLB51AVW0KGHVJV</t>
        </is>
      </c>
      <c r="C146" s="2" t="inlineStr">
        <is>
          <t>2025-02-07</t>
        </is>
      </c>
      <c r="D146" s="3" t="inlineStr">
        <is>
          <t>Estribo lateral derecho</t>
        </is>
      </c>
      <c r="E146" s="3" t="inlineStr">
        <is>
          <t>Fallo de pintura</t>
        </is>
      </c>
      <c r="F146" s="2" t="n">
        <v>6</v>
      </c>
      <c r="G146" s="3" t="inlineStr">
        <is>
          <t>Leve</t>
        </is>
      </c>
      <c r="H146" s="3" t="inlineStr">
        <is>
          <t>images/875299d3_foto.jpg</t>
        </is>
      </c>
      <c r="I146" s="3" t="inlineStr">
        <is>
          <t>images/875299d3_firma.png</t>
        </is>
      </c>
    </row>
    <row r="147">
      <c r="A147" s="4" t="inlineStr">
        <is>
          <t>00759f1b</t>
        </is>
      </c>
      <c r="B147" s="4" t="inlineStr">
        <is>
          <t>8AJF3F0T7UYBB48Z2</t>
        </is>
      </c>
      <c r="C147" s="4" t="inlineStr">
        <is>
          <t>2024-07-05</t>
        </is>
      </c>
      <c r="D147" s="5" t="inlineStr">
        <is>
          <t>Estribo lateral derecho</t>
        </is>
      </c>
      <c r="E147" s="5" t="inlineStr">
        <is>
          <t>Fallo de pintura</t>
        </is>
      </c>
      <c r="F147" s="4" t="n">
        <v>7</v>
      </c>
      <c r="G147" s="5" t="inlineStr">
        <is>
          <t>Leve</t>
        </is>
      </c>
      <c r="H147" s="5" t="inlineStr">
        <is>
          <t>images/00759f1b_foto.jpg</t>
        </is>
      </c>
      <c r="I147" s="5" t="inlineStr">
        <is>
          <t>images/00759f1b_firma.png</t>
        </is>
      </c>
    </row>
    <row r="148">
      <c r="A148" s="2" t="inlineStr">
        <is>
          <t>17bf1ac4</t>
        </is>
      </c>
      <c r="B148" s="2" t="inlineStr">
        <is>
          <t>8AJ7UHXJM3C8SJ0K4</t>
        </is>
      </c>
      <c r="C148" s="2" t="inlineStr">
        <is>
          <t>2024-07-18</t>
        </is>
      </c>
      <c r="D148" s="3" t="inlineStr">
        <is>
          <t>Paragolpe trasero</t>
        </is>
      </c>
      <c r="E148" s="3" t="inlineStr">
        <is>
          <t>Roto</t>
        </is>
      </c>
      <c r="F148" s="2" t="n">
        <v>8</v>
      </c>
      <c r="G148" s="3" t="inlineStr"/>
      <c r="H148" s="3" t="inlineStr">
        <is>
          <t>images/17bf1ac4_foto.jpg</t>
        </is>
      </c>
      <c r="I148" s="3" t="inlineStr">
        <is>
          <t>images/17bf1ac4_firma.png</t>
        </is>
      </c>
    </row>
    <row r="149">
      <c r="A149" s="4" t="inlineStr">
        <is>
          <t>787b6fc4</t>
        </is>
      </c>
      <c r="B149" s="4" t="inlineStr">
        <is>
          <t>8AJ7UHXJM3C8SJ0K4</t>
        </is>
      </c>
      <c r="C149" s="4" t="inlineStr">
        <is>
          <t>2024-07-18</t>
        </is>
      </c>
      <c r="D149" s="5" t="inlineStr">
        <is>
          <t>Paragolpe trasero</t>
        </is>
      </c>
      <c r="E149" s="5" t="inlineStr">
        <is>
          <t>Cortado</t>
        </is>
      </c>
      <c r="F149" s="4" t="n">
        <v>4</v>
      </c>
      <c r="G149" s="5" t="inlineStr">
        <is>
          <t>Requiere seguimiento</t>
        </is>
      </c>
      <c r="H149" s="5" t="inlineStr">
        <is>
          <t>images/787b6fc4_foto.jpg</t>
        </is>
      </c>
      <c r="I149" s="5" t="inlineStr">
        <is>
          <t>images/787b6fc4_firma.png</t>
        </is>
      </c>
    </row>
    <row r="150">
      <c r="A150" s="2" t="inlineStr">
        <is>
          <t>c4a99a4b</t>
        </is>
      </c>
      <c r="B150" s="2" t="inlineStr">
        <is>
          <t>8AJ7UHXJM3C8SJ0K4</t>
        </is>
      </c>
      <c r="C150" s="2" t="inlineStr">
        <is>
          <t>2024-07-18</t>
        </is>
      </c>
      <c r="D150" s="3" t="inlineStr">
        <is>
          <t>Paragolpe delantero</t>
        </is>
      </c>
      <c r="E150" s="3" t="inlineStr">
        <is>
          <t>Fallo de pintura</t>
        </is>
      </c>
      <c r="F150" s="2" t="n">
        <v>7</v>
      </c>
      <c r="G150" s="3" t="inlineStr"/>
      <c r="H150" s="3" t="inlineStr">
        <is>
          <t>images/c4a99a4b_foto.jpg</t>
        </is>
      </c>
      <c r="I150" s="3" t="inlineStr">
        <is>
          <t>images/c4a99a4b_firma.png</t>
        </is>
      </c>
    </row>
    <row r="151">
      <c r="A151" s="4" t="inlineStr">
        <is>
          <t>4944b9eb</t>
        </is>
      </c>
      <c r="B151" s="4" t="inlineStr">
        <is>
          <t>8AJN13ZC1MDHCWXW8</t>
        </is>
      </c>
      <c r="C151" s="4" t="inlineStr">
        <is>
          <t>2025-01-17</t>
        </is>
      </c>
      <c r="D151" s="5" t="inlineStr">
        <is>
          <t>Puerta trasera derecha</t>
        </is>
      </c>
      <c r="E151" s="5" t="inlineStr">
        <is>
          <t>Faltante</t>
        </is>
      </c>
      <c r="F151" s="4" t="n">
        <v>5</v>
      </c>
      <c r="G151" s="5" t="inlineStr"/>
      <c r="H151" s="5" t="inlineStr">
        <is>
          <t>images/4944b9eb_foto.jpg</t>
        </is>
      </c>
      <c r="I151" s="5" t="inlineStr">
        <is>
          <t>images/4944b9eb_firma.png</t>
        </is>
      </c>
    </row>
    <row r="152">
      <c r="A152" s="2" t="inlineStr">
        <is>
          <t>4b7cd512</t>
        </is>
      </c>
      <c r="B152" s="2" t="inlineStr">
        <is>
          <t>8AJN13ZC1MDHCWXW8</t>
        </is>
      </c>
      <c r="C152" s="2" t="inlineStr">
        <is>
          <t>2025-01-17</t>
        </is>
      </c>
      <c r="D152" s="3" t="inlineStr">
        <is>
          <t>Interior caja pick-up (Hilux)</t>
        </is>
      </c>
      <c r="E152" s="3" t="inlineStr">
        <is>
          <t>Mellado</t>
        </is>
      </c>
      <c r="F152" s="2" t="n">
        <v>7</v>
      </c>
      <c r="G152" s="3" t="inlineStr">
        <is>
          <t>Revisar</t>
        </is>
      </c>
      <c r="H152" s="3" t="inlineStr">
        <is>
          <t>images/4b7cd512_foto.jpg</t>
        </is>
      </c>
      <c r="I152" s="3" t="inlineStr">
        <is>
          <t>images/4b7cd512_firma.png</t>
        </is>
      </c>
    </row>
    <row r="153">
      <c r="A153" s="4" t="inlineStr">
        <is>
          <t>37a3b5ac</t>
        </is>
      </c>
      <c r="B153" s="4" t="inlineStr">
        <is>
          <t>8AJHVNGWN2KJCJN2F</t>
        </is>
      </c>
      <c r="C153" s="4" t="inlineStr">
        <is>
          <t>2024-07-25</t>
        </is>
      </c>
      <c r="D153" s="5" t="inlineStr">
        <is>
          <t>Guardabarro delantero izquierdo</t>
        </is>
      </c>
      <c r="E153" s="5" t="inlineStr">
        <is>
          <t>Rayado</t>
        </is>
      </c>
      <c r="F153" s="4" t="n">
        <v>2</v>
      </c>
      <c r="G153" s="5" t="inlineStr">
        <is>
          <t>Revisar</t>
        </is>
      </c>
      <c r="H153" s="5" t="inlineStr">
        <is>
          <t>images/37a3b5ac_foto.jpg</t>
        </is>
      </c>
      <c r="I153" s="5" t="inlineStr">
        <is>
          <t>images/37a3b5ac_firma.png</t>
        </is>
      </c>
    </row>
    <row r="154">
      <c r="A154" s="2" t="inlineStr">
        <is>
          <t>64bc86b7</t>
        </is>
      </c>
      <c r="B154" s="2" t="inlineStr">
        <is>
          <t>8AJHVNGWN2KJCJN2F</t>
        </is>
      </c>
      <c r="C154" s="2" t="inlineStr">
        <is>
          <t>2024-07-25</t>
        </is>
      </c>
      <c r="D154" s="3" t="inlineStr">
        <is>
          <t>Guardabarro trasero derecho</t>
        </is>
      </c>
      <c r="E154" s="3" t="inlineStr">
        <is>
          <t>Desprendido</t>
        </is>
      </c>
      <c r="F154" s="2" t="n">
        <v>6</v>
      </c>
      <c r="G154" s="3" t="inlineStr"/>
      <c r="H154" s="3" t="inlineStr">
        <is>
          <t>images/64bc86b7_foto.jpg</t>
        </is>
      </c>
      <c r="I154" s="3" t="inlineStr">
        <is>
          <t>images/64bc86b7_firma.png</t>
        </is>
      </c>
    </row>
    <row r="155">
      <c r="A155" s="4" t="inlineStr">
        <is>
          <t>658f185d</t>
        </is>
      </c>
      <c r="B155" s="4" t="inlineStr">
        <is>
          <t>8AJ20V9JUZFJJEFKK</t>
        </is>
      </c>
      <c r="C155" s="4" t="inlineStr">
        <is>
          <t>2024-10-05</t>
        </is>
      </c>
      <c r="D155" s="5" t="inlineStr">
        <is>
          <t>Puerta delantera derecha</t>
        </is>
      </c>
      <c r="E155" s="5" t="inlineStr">
        <is>
          <t>Fallo de pintura</t>
        </is>
      </c>
      <c r="F155" s="4" t="n">
        <v>5</v>
      </c>
      <c r="G155" s="5" t="inlineStr"/>
      <c r="H155" s="5" t="inlineStr">
        <is>
          <t>images/658f185d_foto.jpg</t>
        </is>
      </c>
      <c r="I155" s="5" t="inlineStr">
        <is>
          <t>images/658f185d_firma.png</t>
        </is>
      </c>
    </row>
    <row r="156">
      <c r="A156" s="2" t="inlineStr">
        <is>
          <t>41a6cbb9</t>
        </is>
      </c>
      <c r="B156" s="2" t="inlineStr">
        <is>
          <t>8AJ20V9JUZFJJEFKK</t>
        </is>
      </c>
      <c r="C156" s="2" t="inlineStr">
        <is>
          <t>2024-10-05</t>
        </is>
      </c>
      <c r="D156" s="3" t="inlineStr">
        <is>
          <t>Capot</t>
        </is>
      </c>
      <c r="E156" s="3" t="inlineStr">
        <is>
          <t>Desprendido</t>
        </is>
      </c>
      <c r="F156" s="2" t="n">
        <v>5</v>
      </c>
      <c r="G156" s="3" t="inlineStr">
        <is>
          <t>Requiere seguimiento</t>
        </is>
      </c>
      <c r="H156" s="3" t="inlineStr">
        <is>
          <t>images/41a6cbb9_foto.jpg</t>
        </is>
      </c>
      <c r="I156" s="3" t="inlineStr">
        <is>
          <t>images/41a6cbb9_firma.png</t>
        </is>
      </c>
    </row>
    <row r="157">
      <c r="A157" s="4" t="inlineStr">
        <is>
          <t>28ad0117</t>
        </is>
      </c>
      <c r="B157" s="4" t="inlineStr">
        <is>
          <t>8AJWGDL8LX3LM359E</t>
        </is>
      </c>
      <c r="C157" s="4" t="inlineStr">
        <is>
          <t>2025-02-01</t>
        </is>
      </c>
      <c r="D157" s="5" t="inlineStr">
        <is>
          <t>Parrilla</t>
        </is>
      </c>
      <c r="E157" s="5" t="inlineStr">
        <is>
          <t>Fallo de pintura</t>
        </is>
      </c>
      <c r="F157" s="4" t="n">
        <v>4</v>
      </c>
      <c r="G157" s="5" t="inlineStr"/>
      <c r="H157" s="5" t="inlineStr">
        <is>
          <t>images/28ad0117_foto.jpg</t>
        </is>
      </c>
      <c r="I157" s="5" t="inlineStr">
        <is>
          <t>images/28ad0117_firma.png</t>
        </is>
      </c>
    </row>
    <row r="158">
      <c r="A158" s="2" t="inlineStr">
        <is>
          <t>0909e391</t>
        </is>
      </c>
      <c r="B158" s="2" t="inlineStr">
        <is>
          <t>8AJWGDL8LX3LM359E</t>
        </is>
      </c>
      <c r="C158" s="2" t="inlineStr">
        <is>
          <t>2025-02-01</t>
        </is>
      </c>
      <c r="D158" s="3" t="inlineStr">
        <is>
          <t>Guardabarro delantero izquierdo</t>
        </is>
      </c>
      <c r="E158" s="3" t="inlineStr">
        <is>
          <t>Abollado</t>
        </is>
      </c>
      <c r="F158" s="2" t="n">
        <v>9</v>
      </c>
      <c r="G158" s="3" t="inlineStr"/>
      <c r="H158" s="3" t="inlineStr">
        <is>
          <t>images/0909e391_foto.jpg</t>
        </is>
      </c>
      <c r="I158" s="3" t="inlineStr">
        <is>
          <t>images/0909e391_firma.png</t>
        </is>
      </c>
    </row>
    <row r="159">
      <c r="A159" s="4" t="inlineStr">
        <is>
          <t>cac2124a</t>
        </is>
      </c>
      <c r="B159" s="4" t="inlineStr">
        <is>
          <t>8AJFPL1X82LK2N7G9</t>
        </is>
      </c>
      <c r="C159" s="4" t="inlineStr">
        <is>
          <t>2025-01-23</t>
        </is>
      </c>
      <c r="D159" s="5" t="inlineStr">
        <is>
          <t>Guardabarro delantero derecho</t>
        </is>
      </c>
      <c r="E159" s="5" t="inlineStr">
        <is>
          <t>Faltante</t>
        </is>
      </c>
      <c r="F159" s="4" t="n">
        <v>4</v>
      </c>
      <c r="G159" s="5" t="inlineStr">
        <is>
          <t>Revisar</t>
        </is>
      </c>
      <c r="H159" s="5" t="inlineStr">
        <is>
          <t>images/cac2124a_foto.jpg</t>
        </is>
      </c>
      <c r="I159" s="5" t="inlineStr">
        <is>
          <t>images/cac2124a_firma.png</t>
        </is>
      </c>
    </row>
    <row r="160">
      <c r="A160" s="2" t="inlineStr">
        <is>
          <t>ac4c406f</t>
        </is>
      </c>
      <c r="B160" s="2" t="inlineStr">
        <is>
          <t>8AJRKZ43PTXHY03C9</t>
        </is>
      </c>
      <c r="C160" s="2" t="inlineStr">
        <is>
          <t>2025-03-01</t>
        </is>
      </c>
      <c r="D160" s="3" t="inlineStr">
        <is>
          <t>Espejo exterior derecho</t>
        </is>
      </c>
      <c r="E160" s="3" t="inlineStr">
        <is>
          <t>Fallo de pintura</t>
        </is>
      </c>
      <c r="F160" s="2" t="n">
        <v>2</v>
      </c>
      <c r="G160" s="3" t="inlineStr">
        <is>
          <t>Revisar</t>
        </is>
      </c>
      <c r="H160" s="3" t="inlineStr">
        <is>
          <t>images/ac4c406f_foto.jpg</t>
        </is>
      </c>
      <c r="I160" s="3" t="inlineStr">
        <is>
          <t>images/ac4c406f_firma.png</t>
        </is>
      </c>
    </row>
    <row r="161">
      <c r="A161" s="4" t="inlineStr">
        <is>
          <t>1f36a186</t>
        </is>
      </c>
      <c r="B161" s="4" t="inlineStr">
        <is>
          <t>8AJRKZ43PTXHY03C9</t>
        </is>
      </c>
      <c r="C161" s="4" t="inlineStr">
        <is>
          <t>2025-03-01</t>
        </is>
      </c>
      <c r="D161" s="5" t="inlineStr">
        <is>
          <t>Puerta delantera derecha</t>
        </is>
      </c>
      <c r="E161" s="5" t="inlineStr">
        <is>
          <t>Abollado</t>
        </is>
      </c>
      <c r="F161" s="4" t="n">
        <v>7</v>
      </c>
      <c r="G161" s="5" t="inlineStr">
        <is>
          <t>Requiere seguimiento</t>
        </is>
      </c>
      <c r="H161" s="5" t="inlineStr">
        <is>
          <t>images/1f36a186_foto.jpg</t>
        </is>
      </c>
      <c r="I161" s="5" t="inlineStr">
        <is>
          <t>images/1f36a186_firma.png</t>
        </is>
      </c>
    </row>
    <row r="162">
      <c r="A162" s="2" t="inlineStr">
        <is>
          <t>c07a0062</t>
        </is>
      </c>
      <c r="B162" s="2" t="inlineStr">
        <is>
          <t>8AJVLRS3XGYP16RRA</t>
        </is>
      </c>
      <c r="C162" s="2" t="inlineStr">
        <is>
          <t>2024-07-03</t>
        </is>
      </c>
      <c r="D162" s="3" t="inlineStr">
        <is>
          <t>Parabrisas delantero</t>
        </is>
      </c>
      <c r="E162" s="3" t="inlineStr">
        <is>
          <t>Doblado</t>
        </is>
      </c>
      <c r="F162" s="2" t="n">
        <v>9</v>
      </c>
      <c r="G162" s="3" t="inlineStr"/>
      <c r="H162" s="3" t="inlineStr">
        <is>
          <t>images/c07a0062_foto.jpg</t>
        </is>
      </c>
      <c r="I162" s="3" t="inlineStr">
        <is>
          <t>images/c07a0062_firma.png</t>
        </is>
      </c>
    </row>
    <row r="163">
      <c r="A163" s="4" t="inlineStr">
        <is>
          <t>8f76dcc8</t>
        </is>
      </c>
      <c r="B163" s="4" t="inlineStr">
        <is>
          <t>8AJVLRS3XGYP16RRA</t>
        </is>
      </c>
      <c r="C163" s="4" t="inlineStr">
        <is>
          <t>2024-07-03</t>
        </is>
      </c>
      <c r="D163" s="5" t="inlineStr">
        <is>
          <t>Paragolpe delantero</t>
        </is>
      </c>
      <c r="E163" s="5" t="inlineStr">
        <is>
          <t>Doblado</t>
        </is>
      </c>
      <c r="F163" s="4" t="n">
        <v>7</v>
      </c>
      <c r="G163" s="5" t="inlineStr"/>
      <c r="H163" s="5" t="inlineStr">
        <is>
          <t>images/8f76dcc8_foto.jpg</t>
        </is>
      </c>
      <c r="I163" s="5" t="inlineStr">
        <is>
          <t>images/8f76dcc8_firma.png</t>
        </is>
      </c>
    </row>
    <row r="164">
      <c r="A164" s="2" t="inlineStr">
        <is>
          <t>e5a6af18</t>
        </is>
      </c>
      <c r="B164" s="2" t="inlineStr">
        <is>
          <t>8AJD5GLSJ5UYWXWM4</t>
        </is>
      </c>
      <c r="C164" s="2" t="inlineStr">
        <is>
          <t>2024-07-14</t>
        </is>
      </c>
      <c r="D164" s="3" t="inlineStr">
        <is>
          <t>Parabrisas delantero</t>
        </is>
      </c>
      <c r="E164" s="3" t="inlineStr">
        <is>
          <t>Abollado</t>
        </is>
      </c>
      <c r="F164" s="2" t="n">
        <v>7</v>
      </c>
      <c r="G164" s="3" t="inlineStr"/>
      <c r="H164" s="3" t="inlineStr">
        <is>
          <t>images/e5a6af18_foto.jpg</t>
        </is>
      </c>
      <c r="I164" s="3" t="inlineStr">
        <is>
          <t>images/e5a6af18_firma.png</t>
        </is>
      </c>
    </row>
    <row r="165">
      <c r="A165" s="4" t="inlineStr">
        <is>
          <t>2063bea5</t>
        </is>
      </c>
      <c r="B165" s="4" t="inlineStr">
        <is>
          <t>8AJLHDNENWVPTU77F</t>
        </is>
      </c>
      <c r="C165" s="4" t="inlineStr">
        <is>
          <t>2024-08-11</t>
        </is>
      </c>
      <c r="D165" s="5" t="inlineStr">
        <is>
          <t>Guardabarro delantero derecho</t>
        </is>
      </c>
      <c r="E165" s="5" t="inlineStr">
        <is>
          <t>Faltante</t>
        </is>
      </c>
      <c r="F165" s="4" t="n">
        <v>3</v>
      </c>
      <c r="G165" s="5" t="inlineStr"/>
      <c r="H165" s="5" t="inlineStr">
        <is>
          <t>images/2063bea5_foto.jpg</t>
        </is>
      </c>
      <c r="I165" s="5" t="inlineStr">
        <is>
          <t>images/2063bea5_firma.png</t>
        </is>
      </c>
    </row>
    <row r="166">
      <c r="A166" s="2" t="inlineStr">
        <is>
          <t>36ca7fcf</t>
        </is>
      </c>
      <c r="B166" s="2" t="inlineStr">
        <is>
          <t>8AJ1YJ5BJ5C5D3G1Z</t>
        </is>
      </c>
      <c r="C166" s="2" t="inlineStr">
        <is>
          <t>2024-08-24</t>
        </is>
      </c>
      <c r="D166" s="3" t="inlineStr">
        <is>
          <t>Paragolpe delantero</t>
        </is>
      </c>
      <c r="E166" s="3" t="inlineStr">
        <is>
          <t>Rayado</t>
        </is>
      </c>
      <c r="F166" s="2" t="n">
        <v>5</v>
      </c>
      <c r="G166" s="3" t="inlineStr"/>
      <c r="H166" s="3" t="inlineStr">
        <is>
          <t>images/36ca7fcf_foto.jpg</t>
        </is>
      </c>
      <c r="I166" s="3" t="inlineStr">
        <is>
          <t>images/36ca7fcf_firma.png</t>
        </is>
      </c>
    </row>
    <row r="167">
      <c r="A167" s="4" t="inlineStr">
        <is>
          <t>5b63a8fd</t>
        </is>
      </c>
      <c r="B167" s="4" t="inlineStr">
        <is>
          <t>8AJ1YJ5BJ5C5D3G1Z</t>
        </is>
      </c>
      <c r="C167" s="4" t="inlineStr">
        <is>
          <t>2024-08-24</t>
        </is>
      </c>
      <c r="D167" s="5" t="inlineStr">
        <is>
          <t>Estribo lateral izquierdo</t>
        </is>
      </c>
      <c r="E167" s="5" t="inlineStr">
        <is>
          <t>Mellado</t>
        </is>
      </c>
      <c r="F167" s="4" t="n">
        <v>9</v>
      </c>
      <c r="G167" s="5" t="inlineStr"/>
      <c r="H167" s="5" t="inlineStr">
        <is>
          <t>images/5b63a8fd_foto.jpg</t>
        </is>
      </c>
      <c r="I167" s="5" t="inlineStr">
        <is>
          <t>images/5b63a8fd_firma.png</t>
        </is>
      </c>
    </row>
    <row r="168">
      <c r="A168" s="2" t="inlineStr">
        <is>
          <t>e02a7e0b</t>
        </is>
      </c>
      <c r="B168" s="2" t="inlineStr">
        <is>
          <t>8AJ1YJ5BJ5C5D3G1Z</t>
        </is>
      </c>
      <c r="C168" s="2" t="inlineStr">
        <is>
          <t>2024-08-24</t>
        </is>
      </c>
      <c r="D168" s="3" t="inlineStr">
        <is>
          <t>Guardabarro trasero derecho</t>
        </is>
      </c>
      <c r="E168" s="3" t="inlineStr">
        <is>
          <t>Rayado</t>
        </is>
      </c>
      <c r="F168" s="2" t="n">
        <v>2</v>
      </c>
      <c r="G168" s="3" t="inlineStr">
        <is>
          <t>Requiere seguimiento</t>
        </is>
      </c>
      <c r="H168" s="3" t="inlineStr">
        <is>
          <t>images/e02a7e0b_foto.jpg</t>
        </is>
      </c>
      <c r="I168" s="3" t="inlineStr">
        <is>
          <t>images/e02a7e0b_firma.png</t>
        </is>
      </c>
    </row>
    <row r="169">
      <c r="A169" s="4" t="inlineStr">
        <is>
          <t>04c729d1</t>
        </is>
      </c>
      <c r="B169" s="4" t="inlineStr">
        <is>
          <t>8AJ1YJ5BJ5C5D3G1Z</t>
        </is>
      </c>
      <c r="C169" s="4" t="inlineStr">
        <is>
          <t>2024-08-24</t>
        </is>
      </c>
      <c r="D169" s="5" t="inlineStr">
        <is>
          <t>Techo</t>
        </is>
      </c>
      <c r="E169" s="5" t="inlineStr">
        <is>
          <t>Cortado</t>
        </is>
      </c>
      <c r="F169" s="4" t="n">
        <v>9</v>
      </c>
      <c r="G169" s="5" t="inlineStr"/>
      <c r="H169" s="5" t="inlineStr">
        <is>
          <t>images/04c729d1_foto.jpg</t>
        </is>
      </c>
      <c r="I169" s="5" t="inlineStr">
        <is>
          <t>images/04c729d1_firma.png</t>
        </is>
      </c>
    </row>
    <row r="170">
      <c r="A170" s="2" t="inlineStr">
        <is>
          <t>db61a85f</t>
        </is>
      </c>
      <c r="B170" s="2" t="inlineStr">
        <is>
          <t>8AJ8LA211SYMCUHRG</t>
        </is>
      </c>
      <c r="C170" s="2" t="inlineStr">
        <is>
          <t>2024-11-20</t>
        </is>
      </c>
      <c r="D170" s="3" t="inlineStr">
        <is>
          <t>Capot</t>
        </is>
      </c>
      <c r="E170" s="3" t="inlineStr">
        <is>
          <t>Rayado</t>
        </is>
      </c>
      <c r="F170" s="2" t="n">
        <v>9</v>
      </c>
      <c r="G170" s="3" t="inlineStr"/>
      <c r="H170" s="3" t="inlineStr">
        <is>
          <t>images/db61a85f_foto.jpg</t>
        </is>
      </c>
      <c r="I170" s="3" t="inlineStr">
        <is>
          <t>images/db61a85f_firma.png</t>
        </is>
      </c>
    </row>
    <row r="171">
      <c r="A171" s="4" t="inlineStr">
        <is>
          <t>126b87e0</t>
        </is>
      </c>
      <c r="B171" s="4" t="inlineStr">
        <is>
          <t>8AJWVTMZBD2SE5RA8</t>
        </is>
      </c>
      <c r="C171" s="4" t="inlineStr">
        <is>
          <t>2024-11-02</t>
        </is>
      </c>
      <c r="D171" s="5" t="inlineStr">
        <is>
          <t>Guardabarro delantero izquierdo</t>
        </is>
      </c>
      <c r="E171" s="5" t="inlineStr">
        <is>
          <t>Cortado</t>
        </is>
      </c>
      <c r="F171" s="4" t="n">
        <v>6</v>
      </c>
      <c r="G171" s="5" t="inlineStr"/>
      <c r="H171" s="5" t="inlineStr">
        <is>
          <t>images/126b87e0_foto.jpg</t>
        </is>
      </c>
      <c r="I171" s="5" t="inlineStr">
        <is>
          <t>images/126b87e0_firma.png</t>
        </is>
      </c>
    </row>
    <row r="172">
      <c r="A172" s="2" t="inlineStr">
        <is>
          <t>021ae6cc</t>
        </is>
      </c>
      <c r="B172" s="2" t="inlineStr">
        <is>
          <t>8AJHZAZ39PECN1DL6</t>
        </is>
      </c>
      <c r="C172" s="2" t="inlineStr">
        <is>
          <t>2024-08-13</t>
        </is>
      </c>
      <c r="D172" s="3" t="inlineStr">
        <is>
          <t>Puerta trasera izquierda</t>
        </is>
      </c>
      <c r="E172" s="3" t="inlineStr">
        <is>
          <t>Mellado</t>
        </is>
      </c>
      <c r="F172" s="2" t="n">
        <v>3</v>
      </c>
      <c r="G172" s="3" t="inlineStr"/>
      <c r="H172" s="3" t="inlineStr">
        <is>
          <t>images/021ae6cc_foto.jpg</t>
        </is>
      </c>
      <c r="I172" s="3" t="inlineStr">
        <is>
          <t>images/021ae6cc_firma.png</t>
        </is>
      </c>
    </row>
    <row r="173">
      <c r="A173" s="4" t="inlineStr">
        <is>
          <t>86f9027f</t>
        </is>
      </c>
      <c r="B173" s="4" t="inlineStr">
        <is>
          <t>8AJUAYR0XEPZ5CD1W</t>
        </is>
      </c>
      <c r="C173" s="4" t="inlineStr">
        <is>
          <t>2024-11-09</t>
        </is>
      </c>
      <c r="D173" s="5" t="inlineStr">
        <is>
          <t>Puerta delantera izquierda</t>
        </is>
      </c>
      <c r="E173" s="5" t="inlineStr">
        <is>
          <t>Fallo de pintura</t>
        </is>
      </c>
      <c r="F173" s="4" t="n">
        <v>5</v>
      </c>
      <c r="G173" s="5" t="inlineStr">
        <is>
          <t>Revisar</t>
        </is>
      </c>
      <c r="H173" s="5" t="inlineStr">
        <is>
          <t>images/86f9027f_foto.jpg</t>
        </is>
      </c>
      <c r="I173" s="5" t="inlineStr">
        <is>
          <t>images/86f9027f_firma.png</t>
        </is>
      </c>
    </row>
    <row r="174">
      <c r="A174" s="2" t="inlineStr">
        <is>
          <t>15c83ca4</t>
        </is>
      </c>
      <c r="B174" s="2" t="inlineStr">
        <is>
          <t>8AJNX4ZC014BCRRXL</t>
        </is>
      </c>
      <c r="C174" s="2" t="inlineStr">
        <is>
          <t>2024-08-10</t>
        </is>
      </c>
      <c r="D174" s="3" t="inlineStr">
        <is>
          <t>Capot</t>
        </is>
      </c>
      <c r="E174" s="3" t="inlineStr">
        <is>
          <t>Abollado</t>
        </is>
      </c>
      <c r="F174" s="2" t="n">
        <v>2</v>
      </c>
      <c r="G174" s="3" t="inlineStr">
        <is>
          <t>Requiere seguimiento</t>
        </is>
      </c>
      <c r="H174" s="3" t="inlineStr">
        <is>
          <t>images/15c83ca4_foto.jpg</t>
        </is>
      </c>
      <c r="I174" s="3" t="inlineStr">
        <is>
          <t>images/15c83ca4_firma.png</t>
        </is>
      </c>
    </row>
    <row r="175">
      <c r="A175" s="4" t="inlineStr">
        <is>
          <t>e72e0534</t>
        </is>
      </c>
      <c r="B175" s="4" t="inlineStr">
        <is>
          <t>8AJF8U20FE2J62A3J</t>
        </is>
      </c>
      <c r="C175" s="4" t="inlineStr">
        <is>
          <t>2025-02-10</t>
        </is>
      </c>
      <c r="D175" s="5" t="inlineStr">
        <is>
          <t>Puerta delantera derecha</t>
        </is>
      </c>
      <c r="E175" s="5" t="inlineStr">
        <is>
          <t>Faltante</t>
        </is>
      </c>
      <c r="F175" s="4" t="n">
        <v>0</v>
      </c>
      <c r="G175" s="5" t="inlineStr"/>
      <c r="H175" s="5" t="inlineStr">
        <is>
          <t>images/e72e0534_foto.jpg</t>
        </is>
      </c>
      <c r="I175" s="5" t="inlineStr">
        <is>
          <t>images/e72e0534_firma.png</t>
        </is>
      </c>
    </row>
    <row r="176">
      <c r="A176" s="2" t="inlineStr">
        <is>
          <t>be2c71eb</t>
        </is>
      </c>
      <c r="B176" s="2" t="inlineStr">
        <is>
          <t>8AJF8U20FE2J62A3J</t>
        </is>
      </c>
      <c r="C176" s="2" t="inlineStr">
        <is>
          <t>2025-02-10</t>
        </is>
      </c>
      <c r="D176" s="3" t="inlineStr">
        <is>
          <t>Llantas</t>
        </is>
      </c>
      <c r="E176" s="3" t="inlineStr">
        <is>
          <t>Cortado</t>
        </is>
      </c>
      <c r="F176" s="2" t="n">
        <v>5</v>
      </c>
      <c r="G176" s="3" t="inlineStr">
        <is>
          <t>Revisar</t>
        </is>
      </c>
      <c r="H176" s="3" t="inlineStr">
        <is>
          <t>images/be2c71eb_foto.jpg</t>
        </is>
      </c>
      <c r="I176" s="3" t="inlineStr">
        <is>
          <t>images/be2c71eb_firma.png</t>
        </is>
      </c>
    </row>
    <row r="177">
      <c r="A177" s="4" t="inlineStr">
        <is>
          <t>5c51bd63</t>
        </is>
      </c>
      <c r="B177" s="4" t="inlineStr">
        <is>
          <t>8AJV71PLP0JCNT6F3</t>
        </is>
      </c>
      <c r="C177" s="4" t="inlineStr">
        <is>
          <t>2025-01-25</t>
        </is>
      </c>
      <c r="D177" s="5" t="inlineStr">
        <is>
          <t>Techo</t>
        </is>
      </c>
      <c r="E177" s="5" t="inlineStr">
        <is>
          <t>Cortado</t>
        </is>
      </c>
      <c r="F177" s="4" t="n">
        <v>7</v>
      </c>
      <c r="G177" s="5" t="inlineStr"/>
      <c r="H177" s="5" t="inlineStr">
        <is>
          <t>images/5c51bd63_foto.jpg</t>
        </is>
      </c>
      <c r="I177" s="5" t="inlineStr">
        <is>
          <t>images/5c51bd63_firma.png</t>
        </is>
      </c>
    </row>
    <row r="178">
      <c r="A178" s="2" t="inlineStr">
        <is>
          <t>e2e762ba</t>
        </is>
      </c>
      <c r="B178" s="2" t="inlineStr">
        <is>
          <t>8AJV71PLP0JCNT6F3</t>
        </is>
      </c>
      <c r="C178" s="2" t="inlineStr">
        <is>
          <t>2025-01-25</t>
        </is>
      </c>
      <c r="D178" s="3" t="inlineStr">
        <is>
          <t>Espejo exterior derecho</t>
        </is>
      </c>
      <c r="E178" s="3" t="inlineStr">
        <is>
          <t>Filo de panel</t>
        </is>
      </c>
      <c r="F178" s="2" t="n">
        <v>5</v>
      </c>
      <c r="G178" s="3" t="inlineStr"/>
      <c r="H178" s="3" t="inlineStr">
        <is>
          <t>images/e2e762ba_foto.jpg</t>
        </is>
      </c>
      <c r="I178" s="3" t="inlineStr">
        <is>
          <t>images/e2e762ba_firma.png</t>
        </is>
      </c>
    </row>
    <row r="179">
      <c r="A179" s="4" t="inlineStr">
        <is>
          <t>4176c342</t>
        </is>
      </c>
      <c r="B179" s="4" t="inlineStr">
        <is>
          <t>8AJ7AUXZAM2N1LG9P</t>
        </is>
      </c>
      <c r="C179" s="4" t="inlineStr">
        <is>
          <t>2024-07-18</t>
        </is>
      </c>
      <c r="D179" s="5" t="inlineStr">
        <is>
          <t>Pilar delantero derecho</t>
        </is>
      </c>
      <c r="E179" s="5" t="inlineStr">
        <is>
          <t>Cortado</t>
        </is>
      </c>
      <c r="F179" s="4" t="n">
        <v>2</v>
      </c>
      <c r="G179" s="5" t="inlineStr">
        <is>
          <t>Leve</t>
        </is>
      </c>
      <c r="H179" s="5" t="inlineStr">
        <is>
          <t>images/4176c342_foto.jpg</t>
        </is>
      </c>
      <c r="I179" s="5" t="inlineStr">
        <is>
          <t>images/4176c342_firma.png</t>
        </is>
      </c>
    </row>
    <row r="180">
      <c r="A180" s="2" t="inlineStr">
        <is>
          <t>d1d7f9d4</t>
        </is>
      </c>
      <c r="B180" s="2" t="inlineStr">
        <is>
          <t>8AJ76U0N9CDE4CVR8</t>
        </is>
      </c>
      <c r="C180" s="2" t="inlineStr">
        <is>
          <t>2024-11-09</t>
        </is>
      </c>
      <c r="D180" s="3" t="inlineStr">
        <is>
          <t>Zócalo lateral derecho</t>
        </is>
      </c>
      <c r="E180" s="3" t="inlineStr">
        <is>
          <t>Doblado</t>
        </is>
      </c>
      <c r="F180" s="2" t="n">
        <v>3</v>
      </c>
      <c r="G180" s="3" t="inlineStr"/>
      <c r="H180" s="3" t="inlineStr">
        <is>
          <t>images/d1d7f9d4_foto.jpg</t>
        </is>
      </c>
      <c r="I180" s="3" t="inlineStr">
        <is>
          <t>images/d1d7f9d4_firma.png</t>
        </is>
      </c>
    </row>
    <row r="181">
      <c r="A181" s="4" t="inlineStr">
        <is>
          <t>59e9290f</t>
        </is>
      </c>
      <c r="B181" s="4" t="inlineStr">
        <is>
          <t>8AJ76U0N9CDE4CVR8</t>
        </is>
      </c>
      <c r="C181" s="4" t="inlineStr">
        <is>
          <t>2024-11-09</t>
        </is>
      </c>
      <c r="D181" s="5" t="inlineStr">
        <is>
          <t>Paragolpe trasero</t>
        </is>
      </c>
      <c r="E181" s="5" t="inlineStr">
        <is>
          <t>Faltante</t>
        </is>
      </c>
      <c r="F181" s="4" t="n">
        <v>8</v>
      </c>
      <c r="G181" s="5" t="inlineStr"/>
      <c r="H181" s="5" t="inlineStr">
        <is>
          <t>images/59e9290f_foto.jpg</t>
        </is>
      </c>
      <c r="I181" s="5" t="inlineStr">
        <is>
          <t>images/59e9290f_firma.png</t>
        </is>
      </c>
    </row>
    <row r="182">
      <c r="A182" s="2" t="inlineStr">
        <is>
          <t>66cb171c</t>
        </is>
      </c>
      <c r="B182" s="2" t="inlineStr">
        <is>
          <t>8AJ76U0N9CDE4CVR8</t>
        </is>
      </c>
      <c r="C182" s="2" t="inlineStr">
        <is>
          <t>2024-11-09</t>
        </is>
      </c>
      <c r="D182" s="3" t="inlineStr">
        <is>
          <t>Puerta trasera izquierda</t>
        </is>
      </c>
      <c r="E182" s="3" t="inlineStr">
        <is>
          <t>Doblado</t>
        </is>
      </c>
      <c r="F182" s="2" t="n">
        <v>3</v>
      </c>
      <c r="G182" s="3" t="inlineStr"/>
      <c r="H182" s="3" t="inlineStr">
        <is>
          <t>images/66cb171c_foto.jpg</t>
        </is>
      </c>
      <c r="I182" s="3" t="inlineStr">
        <is>
          <t>images/66cb171c_firma.png</t>
        </is>
      </c>
    </row>
    <row r="183">
      <c r="A183" s="4" t="inlineStr">
        <is>
          <t>53f0a279</t>
        </is>
      </c>
      <c r="B183" s="4" t="inlineStr">
        <is>
          <t>8AJ76U0N9CDE4CVR8</t>
        </is>
      </c>
      <c r="C183" s="4" t="inlineStr">
        <is>
          <t>2024-11-09</t>
        </is>
      </c>
      <c r="D183" s="5" t="inlineStr">
        <is>
          <t>Llantas</t>
        </is>
      </c>
      <c r="E183" s="5" t="inlineStr">
        <is>
          <t>Rayado</t>
        </is>
      </c>
      <c r="F183" s="4" t="n">
        <v>7</v>
      </c>
      <c r="G183" s="5" t="inlineStr">
        <is>
          <t>Revisar</t>
        </is>
      </c>
      <c r="H183" s="5" t="inlineStr">
        <is>
          <t>images/53f0a279_foto.jpg</t>
        </is>
      </c>
      <c r="I183" s="5" t="inlineStr">
        <is>
          <t>images/53f0a279_firma.png</t>
        </is>
      </c>
    </row>
    <row r="184">
      <c r="A184" s="2" t="inlineStr">
        <is>
          <t>d6c57ad1</t>
        </is>
      </c>
      <c r="B184" s="2" t="inlineStr">
        <is>
          <t>8AJ01LJCG2WFFSPU8</t>
        </is>
      </c>
      <c r="C184" s="2" t="inlineStr">
        <is>
          <t>2025-01-24</t>
        </is>
      </c>
      <c r="D184" s="3" t="inlineStr">
        <is>
          <t>Pilar trasero izquierdo</t>
        </is>
      </c>
      <c r="E184" s="3" t="inlineStr">
        <is>
          <t>Roto</t>
        </is>
      </c>
      <c r="F184" s="2" t="n">
        <v>8</v>
      </c>
      <c r="G184" s="3" t="inlineStr"/>
      <c r="H184" s="3" t="inlineStr">
        <is>
          <t>images/d6c57ad1_foto.jpg</t>
        </is>
      </c>
      <c r="I184" s="3" t="inlineStr">
        <is>
          <t>images/d6c57ad1_firma.png</t>
        </is>
      </c>
    </row>
    <row r="185">
      <c r="A185" s="4" t="inlineStr">
        <is>
          <t>4cb993a9</t>
        </is>
      </c>
      <c r="B185" s="4" t="inlineStr">
        <is>
          <t>8AJ01LJCG2WFFSPU8</t>
        </is>
      </c>
      <c r="C185" s="4" t="inlineStr">
        <is>
          <t>2025-01-24</t>
        </is>
      </c>
      <c r="D185" s="5" t="inlineStr">
        <is>
          <t>Parabrisas delantero</t>
        </is>
      </c>
      <c r="E185" s="5" t="inlineStr">
        <is>
          <t>Rayado</t>
        </is>
      </c>
      <c r="F185" s="4" t="n">
        <v>8</v>
      </c>
      <c r="G185" s="5" t="inlineStr">
        <is>
          <t>Requiere seguimiento</t>
        </is>
      </c>
      <c r="H185" s="5" t="inlineStr">
        <is>
          <t>images/4cb993a9_foto.jpg</t>
        </is>
      </c>
      <c r="I185" s="5" t="inlineStr">
        <is>
          <t>images/4cb993a9_firma.png</t>
        </is>
      </c>
    </row>
    <row r="186">
      <c r="A186" s="2" t="inlineStr">
        <is>
          <t>06705ab8</t>
        </is>
      </c>
      <c r="B186" s="2" t="inlineStr">
        <is>
          <t>8AJ5C3L0WH5E08PBK</t>
        </is>
      </c>
      <c r="C186" s="2" t="inlineStr">
        <is>
          <t>2025-01-18</t>
        </is>
      </c>
      <c r="D186" s="3" t="inlineStr">
        <is>
          <t>Zócalo lateral izquierdo</t>
        </is>
      </c>
      <c r="E186" s="3" t="inlineStr">
        <is>
          <t>Filo de panel</t>
        </is>
      </c>
      <c r="F186" s="2" t="n">
        <v>2</v>
      </c>
      <c r="G186" s="3" t="inlineStr"/>
      <c r="H186" s="3" t="inlineStr">
        <is>
          <t>images/06705ab8_foto.jpg</t>
        </is>
      </c>
      <c r="I186" s="3" t="inlineStr">
        <is>
          <t>images/06705ab8_firma.png</t>
        </is>
      </c>
    </row>
    <row r="187">
      <c r="A187" s="4" t="inlineStr">
        <is>
          <t>f9f3b354</t>
        </is>
      </c>
      <c r="B187" s="4" t="inlineStr">
        <is>
          <t>8AJKREXXYT6SCNPY3</t>
        </is>
      </c>
      <c r="C187" s="4" t="inlineStr">
        <is>
          <t>2024-12-13</t>
        </is>
      </c>
      <c r="D187" s="5" t="inlineStr">
        <is>
          <t>Puerta trasera derecha</t>
        </is>
      </c>
      <c r="E187" s="5" t="inlineStr">
        <is>
          <t>Doblado</t>
        </is>
      </c>
      <c r="F187" s="4" t="n">
        <v>4</v>
      </c>
      <c r="G187" s="5" t="inlineStr"/>
      <c r="H187" s="5" t="inlineStr">
        <is>
          <t>images/f9f3b354_foto.jpg</t>
        </is>
      </c>
      <c r="I187" s="5" t="inlineStr">
        <is>
          <t>images/f9f3b354_firma.png</t>
        </is>
      </c>
    </row>
    <row r="188">
      <c r="A188" s="2" t="inlineStr">
        <is>
          <t>781ba849</t>
        </is>
      </c>
      <c r="B188" s="2" t="inlineStr">
        <is>
          <t>8AJYJ37B9H43M44FW</t>
        </is>
      </c>
      <c r="C188" s="2" t="inlineStr">
        <is>
          <t>2024-11-28</t>
        </is>
      </c>
      <c r="D188" s="3" t="inlineStr">
        <is>
          <t>Pilar delantero derecho</t>
        </is>
      </c>
      <c r="E188" s="3" t="inlineStr">
        <is>
          <t>Abollado</t>
        </is>
      </c>
      <c r="F188" s="2" t="n">
        <v>3</v>
      </c>
      <c r="G188" s="3" t="inlineStr">
        <is>
          <t>Revisar</t>
        </is>
      </c>
      <c r="H188" s="3" t="inlineStr">
        <is>
          <t>images/781ba849_foto.jpg</t>
        </is>
      </c>
      <c r="I188" s="3" t="inlineStr">
        <is>
          <t>images/781ba849_firma.png</t>
        </is>
      </c>
    </row>
    <row r="189">
      <c r="A189" s="4" t="inlineStr">
        <is>
          <t>2f121223</t>
        </is>
      </c>
      <c r="B189" s="4" t="inlineStr">
        <is>
          <t>8AJ74LAW72458N8PD</t>
        </is>
      </c>
      <c r="C189" s="4" t="inlineStr">
        <is>
          <t>2024-08-20</t>
        </is>
      </c>
      <c r="D189" s="5" t="inlineStr">
        <is>
          <t>Puerta delantera izquierda</t>
        </is>
      </c>
      <c r="E189" s="5" t="inlineStr">
        <is>
          <t>Rayado</t>
        </is>
      </c>
      <c r="F189" s="4" t="n">
        <v>4</v>
      </c>
      <c r="G189" s="5" t="inlineStr">
        <is>
          <t>Revisar</t>
        </is>
      </c>
      <c r="H189" s="5" t="inlineStr">
        <is>
          <t>images/2f121223_foto.jpg</t>
        </is>
      </c>
      <c r="I189" s="5" t="inlineStr">
        <is>
          <t>images/2f121223_firma.png</t>
        </is>
      </c>
    </row>
    <row r="190">
      <c r="A190" s="2" t="inlineStr">
        <is>
          <t>8257a41d</t>
        </is>
      </c>
      <c r="B190" s="2" t="inlineStr">
        <is>
          <t>8AJ38YF8Z72HWFLZE</t>
        </is>
      </c>
      <c r="C190" s="2" t="inlineStr">
        <is>
          <t>2025-03-18</t>
        </is>
      </c>
      <c r="D190" s="3" t="inlineStr">
        <is>
          <t>Parrilla</t>
        </is>
      </c>
      <c r="E190" s="3" t="inlineStr">
        <is>
          <t>Desprendido</t>
        </is>
      </c>
      <c r="F190" s="2" t="n">
        <v>5</v>
      </c>
      <c r="G190" s="3" t="inlineStr">
        <is>
          <t>Revisar</t>
        </is>
      </c>
      <c r="H190" s="3" t="inlineStr">
        <is>
          <t>images/8257a41d_foto.jpg</t>
        </is>
      </c>
      <c r="I190" s="3" t="inlineStr">
        <is>
          <t>images/8257a41d_firma.png</t>
        </is>
      </c>
    </row>
    <row r="191">
      <c r="A191" s="4" t="inlineStr">
        <is>
          <t>9ac7a887</t>
        </is>
      </c>
      <c r="B191" s="4" t="inlineStr">
        <is>
          <t>8AJ38YF8Z72HWFLZE</t>
        </is>
      </c>
      <c r="C191" s="4" t="inlineStr">
        <is>
          <t>2025-03-18</t>
        </is>
      </c>
      <c r="D191" s="5" t="inlineStr">
        <is>
          <t>Llantas</t>
        </is>
      </c>
      <c r="E191" s="5" t="inlineStr">
        <is>
          <t>Mellado</t>
        </is>
      </c>
      <c r="F191" s="4" t="n">
        <v>4</v>
      </c>
      <c r="G191" s="5" t="inlineStr"/>
      <c r="H191" s="5" t="inlineStr">
        <is>
          <t>images/9ac7a887_foto.jpg</t>
        </is>
      </c>
      <c r="I191" s="5" t="inlineStr">
        <is>
          <t>images/9ac7a887_firma.png</t>
        </is>
      </c>
    </row>
    <row r="192">
      <c r="A192" s="2" t="inlineStr">
        <is>
          <t>c354d24f</t>
        </is>
      </c>
      <c r="B192" s="2" t="inlineStr">
        <is>
          <t>8AJ38YF8Z72HWFLZE</t>
        </is>
      </c>
      <c r="C192" s="2" t="inlineStr">
        <is>
          <t>2025-03-18</t>
        </is>
      </c>
      <c r="D192" s="3" t="inlineStr">
        <is>
          <t>Puerta delantera derecha</t>
        </is>
      </c>
      <c r="E192" s="3" t="inlineStr">
        <is>
          <t>Mellado</t>
        </is>
      </c>
      <c r="F192" s="2" t="n">
        <v>8</v>
      </c>
      <c r="G192" s="3" t="inlineStr"/>
      <c r="H192" s="3" t="inlineStr">
        <is>
          <t>images/c354d24f_foto.jpg</t>
        </is>
      </c>
      <c r="I192" s="3" t="inlineStr">
        <is>
          <t>images/c354d24f_firma.png</t>
        </is>
      </c>
    </row>
    <row r="193">
      <c r="A193" s="4" t="inlineStr">
        <is>
          <t>22bec21f</t>
        </is>
      </c>
      <c r="B193" s="4" t="inlineStr">
        <is>
          <t>8AJ38YF8Z72HWFLZE</t>
        </is>
      </c>
      <c r="C193" s="4" t="inlineStr">
        <is>
          <t>2025-03-18</t>
        </is>
      </c>
      <c r="D193" s="5" t="inlineStr">
        <is>
          <t>Llantas</t>
        </is>
      </c>
      <c r="E193" s="5" t="inlineStr">
        <is>
          <t>Mellado</t>
        </is>
      </c>
      <c r="F193" s="4" t="n">
        <v>7</v>
      </c>
      <c r="G193" s="5" t="inlineStr"/>
      <c r="H193" s="5" t="inlineStr">
        <is>
          <t>images/22bec21f_foto.jpg</t>
        </is>
      </c>
      <c r="I193" s="5" t="inlineStr">
        <is>
          <t>images/22bec21f_firma.png</t>
        </is>
      </c>
    </row>
    <row r="194">
      <c r="A194" s="2" t="inlineStr">
        <is>
          <t>3baf27f8</t>
        </is>
      </c>
      <c r="B194" s="2" t="inlineStr">
        <is>
          <t>8AJGL3XYDTLCMLX84</t>
        </is>
      </c>
      <c r="C194" s="2" t="inlineStr">
        <is>
          <t>2024-10-14</t>
        </is>
      </c>
      <c r="D194" s="3" t="inlineStr">
        <is>
          <t>Guardabarro delantero izquierdo</t>
        </is>
      </c>
      <c r="E194" s="3" t="inlineStr">
        <is>
          <t>Rayado</t>
        </is>
      </c>
      <c r="F194" s="2" t="n">
        <v>6</v>
      </c>
      <c r="G194" s="3" t="inlineStr">
        <is>
          <t>Revisar</t>
        </is>
      </c>
      <c r="H194" s="3" t="inlineStr">
        <is>
          <t>images/3baf27f8_foto.jpg</t>
        </is>
      </c>
      <c r="I194" s="3" t="inlineStr">
        <is>
          <t>images/3baf27f8_firma.png</t>
        </is>
      </c>
    </row>
    <row r="195">
      <c r="A195" s="4" t="inlineStr">
        <is>
          <t>fe2f88a4</t>
        </is>
      </c>
      <c r="B195" s="4" t="inlineStr">
        <is>
          <t>8AJJCJDAN186TNVDS</t>
        </is>
      </c>
      <c r="C195" s="4" t="inlineStr">
        <is>
          <t>2024-08-23</t>
        </is>
      </c>
      <c r="D195" s="5" t="inlineStr">
        <is>
          <t>Pilar trasero izquierdo</t>
        </is>
      </c>
      <c r="E195" s="5" t="inlineStr">
        <is>
          <t>Fallo de pintura</t>
        </is>
      </c>
      <c r="F195" s="4" t="n">
        <v>9</v>
      </c>
      <c r="G195" s="5" t="inlineStr">
        <is>
          <t>Requiere seguimiento</t>
        </is>
      </c>
      <c r="H195" s="5" t="inlineStr">
        <is>
          <t>images/fe2f88a4_foto.jpg</t>
        </is>
      </c>
      <c r="I195" s="5" t="inlineStr">
        <is>
          <t>images/fe2f88a4_firma.png</t>
        </is>
      </c>
    </row>
    <row r="196">
      <c r="A196" s="2" t="inlineStr">
        <is>
          <t>29e7bbe2</t>
        </is>
      </c>
      <c r="B196" s="2" t="inlineStr">
        <is>
          <t>8AJJCJDAN186TNVDS</t>
        </is>
      </c>
      <c r="C196" s="2" t="inlineStr">
        <is>
          <t>2024-08-23</t>
        </is>
      </c>
      <c r="D196" s="3" t="inlineStr">
        <is>
          <t>Estribo lateral izquierdo</t>
        </is>
      </c>
      <c r="E196" s="3" t="inlineStr">
        <is>
          <t>Abollado</t>
        </is>
      </c>
      <c r="F196" s="2" t="n">
        <v>4</v>
      </c>
      <c r="G196" s="3" t="inlineStr"/>
      <c r="H196" s="3" t="inlineStr">
        <is>
          <t>images/29e7bbe2_foto.jpg</t>
        </is>
      </c>
      <c r="I196" s="3" t="inlineStr">
        <is>
          <t>images/29e7bbe2_firma.png</t>
        </is>
      </c>
    </row>
    <row r="197">
      <c r="A197" s="4" t="inlineStr">
        <is>
          <t>d710a93e</t>
        </is>
      </c>
      <c r="B197" s="4" t="inlineStr">
        <is>
          <t>8AJC4KL8CFN1V6DWX</t>
        </is>
      </c>
      <c r="C197" s="4" t="inlineStr">
        <is>
          <t>2025-01-07</t>
        </is>
      </c>
      <c r="D197" s="5" t="inlineStr">
        <is>
          <t>Espejo exterior derecho</t>
        </is>
      </c>
      <c r="E197" s="5" t="inlineStr">
        <is>
          <t>Filo de panel</t>
        </is>
      </c>
      <c r="F197" s="4" t="n">
        <v>0</v>
      </c>
      <c r="G197" s="5" t="inlineStr"/>
      <c r="H197" s="5" t="inlineStr">
        <is>
          <t>images/d710a93e_foto.jpg</t>
        </is>
      </c>
      <c r="I197" s="5" t="inlineStr">
        <is>
          <t>images/d710a93e_firma.png</t>
        </is>
      </c>
    </row>
    <row r="198">
      <c r="A198" s="2" t="inlineStr">
        <is>
          <t>7a18359f</t>
        </is>
      </c>
      <c r="B198" s="2" t="inlineStr">
        <is>
          <t>8AJXRBL9PV7UYKDNV</t>
        </is>
      </c>
      <c r="C198" s="2" t="inlineStr">
        <is>
          <t>2024-12-02</t>
        </is>
      </c>
      <c r="D198" s="3" t="inlineStr">
        <is>
          <t>Interior caja pick-up (Hilux)</t>
        </is>
      </c>
      <c r="E198" s="3" t="inlineStr">
        <is>
          <t>Roto</t>
        </is>
      </c>
      <c r="F198" s="2" t="n">
        <v>6</v>
      </c>
      <c r="G198" s="3" t="inlineStr"/>
      <c r="H198" s="3" t="inlineStr">
        <is>
          <t>images/7a18359f_foto.jpg</t>
        </is>
      </c>
      <c r="I198" s="3" t="inlineStr">
        <is>
          <t>images/7a18359f_firma.png</t>
        </is>
      </c>
    </row>
    <row r="199">
      <c r="A199" s="4" t="inlineStr">
        <is>
          <t>66054783</t>
        </is>
      </c>
      <c r="B199" s="4" t="inlineStr">
        <is>
          <t>8AJRKYWGAFKC4LPTY</t>
        </is>
      </c>
      <c r="C199" s="4" t="inlineStr">
        <is>
          <t>2024-09-03</t>
        </is>
      </c>
      <c r="D199" s="5" t="inlineStr">
        <is>
          <t>Pilar trasero izquierdo</t>
        </is>
      </c>
      <c r="E199" s="5" t="inlineStr">
        <is>
          <t>Faltante</t>
        </is>
      </c>
      <c r="F199" s="4" t="n">
        <v>6</v>
      </c>
      <c r="G199" s="5" t="inlineStr">
        <is>
          <t>Revisar</t>
        </is>
      </c>
      <c r="H199" s="5" t="inlineStr">
        <is>
          <t>images/66054783_foto.jpg</t>
        </is>
      </c>
      <c r="I199" s="5" t="inlineStr">
        <is>
          <t>images/66054783_firma.png</t>
        </is>
      </c>
    </row>
    <row r="200">
      <c r="A200" s="2" t="inlineStr">
        <is>
          <t>4cf6e291</t>
        </is>
      </c>
      <c r="B200" s="2" t="inlineStr">
        <is>
          <t>8AJRKYWGAFKC4LPTY</t>
        </is>
      </c>
      <c r="C200" s="2" t="inlineStr">
        <is>
          <t>2024-09-03</t>
        </is>
      </c>
      <c r="D200" s="3" t="inlineStr">
        <is>
          <t>Capot</t>
        </is>
      </c>
      <c r="E200" s="3" t="inlineStr">
        <is>
          <t>Fallo de pintura</t>
        </is>
      </c>
      <c r="F200" s="2" t="n">
        <v>7</v>
      </c>
      <c r="G200" s="3" t="inlineStr">
        <is>
          <t>Leve</t>
        </is>
      </c>
      <c r="H200" s="3" t="inlineStr">
        <is>
          <t>images/4cf6e291_foto.jpg</t>
        </is>
      </c>
      <c r="I200" s="3" t="inlineStr">
        <is>
          <t>images/4cf6e291_firma.png</t>
        </is>
      </c>
    </row>
    <row r="201">
      <c r="A201" s="4" t="inlineStr">
        <is>
          <t>1fc16e68</t>
        </is>
      </c>
      <c r="B201" s="4" t="inlineStr">
        <is>
          <t>8AJ6NRJSHJC1ZCMU9</t>
        </is>
      </c>
      <c r="C201" s="4" t="inlineStr">
        <is>
          <t>2024-12-16</t>
        </is>
      </c>
      <c r="D201" s="5" t="inlineStr">
        <is>
          <t>Puerta trasera izquierda</t>
        </is>
      </c>
      <c r="E201" s="5" t="inlineStr">
        <is>
          <t>Cortado</t>
        </is>
      </c>
      <c r="F201" s="4" t="n">
        <v>2</v>
      </c>
      <c r="G201" s="5" t="inlineStr"/>
      <c r="H201" s="5" t="inlineStr">
        <is>
          <t>images/1fc16e68_foto.jpg</t>
        </is>
      </c>
      <c r="I201" s="5" t="inlineStr">
        <is>
          <t>images/1fc16e68_firma.png</t>
        </is>
      </c>
    </row>
    <row r="202">
      <c r="A202" s="2" t="inlineStr">
        <is>
          <t>2680dd48</t>
        </is>
      </c>
      <c r="B202" s="2" t="inlineStr">
        <is>
          <t>8AJ6NRJSHJC1ZCMU9</t>
        </is>
      </c>
      <c r="C202" s="2" t="inlineStr">
        <is>
          <t>2024-12-16</t>
        </is>
      </c>
      <c r="D202" s="3" t="inlineStr">
        <is>
          <t>Optica trasera izquierda</t>
        </is>
      </c>
      <c r="E202" s="3" t="inlineStr">
        <is>
          <t>Filo de panel</t>
        </is>
      </c>
      <c r="F202" s="2" t="n">
        <v>0</v>
      </c>
      <c r="G202" s="3" t="inlineStr"/>
      <c r="H202" s="3" t="inlineStr">
        <is>
          <t>images/2680dd48_foto.jpg</t>
        </is>
      </c>
      <c r="I202" s="3" t="inlineStr">
        <is>
          <t>images/2680dd48_firma.png</t>
        </is>
      </c>
    </row>
    <row r="203">
      <c r="A203" s="4" t="inlineStr">
        <is>
          <t>24aa1a42</t>
        </is>
      </c>
      <c r="B203" s="4" t="inlineStr">
        <is>
          <t>8AJ6NRJSHJC1ZCMU9</t>
        </is>
      </c>
      <c r="C203" s="4" t="inlineStr">
        <is>
          <t>2024-12-16</t>
        </is>
      </c>
      <c r="D203" s="5" t="inlineStr">
        <is>
          <t>Interior caja pick-up (Hilux)</t>
        </is>
      </c>
      <c r="E203" s="5" t="inlineStr">
        <is>
          <t>Filo de panel</t>
        </is>
      </c>
      <c r="F203" s="4" t="n">
        <v>0</v>
      </c>
      <c r="G203" s="5" t="inlineStr"/>
      <c r="H203" s="5" t="inlineStr">
        <is>
          <t>images/24aa1a42_foto.jpg</t>
        </is>
      </c>
      <c r="I203" s="5" t="inlineStr">
        <is>
          <t>images/24aa1a42_firma.png</t>
        </is>
      </c>
    </row>
    <row r="204">
      <c r="A204" s="2" t="inlineStr">
        <is>
          <t>c7f95764</t>
        </is>
      </c>
      <c r="B204" s="2" t="inlineStr">
        <is>
          <t>8AJ6NRJSHJC1ZCMU9</t>
        </is>
      </c>
      <c r="C204" s="2" t="inlineStr">
        <is>
          <t>2024-12-16</t>
        </is>
      </c>
      <c r="D204" s="3" t="inlineStr">
        <is>
          <t>Puerta trasera derecha</t>
        </is>
      </c>
      <c r="E204" s="3" t="inlineStr">
        <is>
          <t>Faltante</t>
        </is>
      </c>
      <c r="F204" s="2" t="n">
        <v>1</v>
      </c>
      <c r="G204" s="3" t="inlineStr"/>
      <c r="H204" s="3" t="inlineStr">
        <is>
          <t>images/c7f95764_foto.jpg</t>
        </is>
      </c>
      <c r="I204" s="3" t="inlineStr">
        <is>
          <t>images/c7f95764_firma.png</t>
        </is>
      </c>
    </row>
    <row r="205">
      <c r="A205" s="4" t="inlineStr">
        <is>
          <t>9d205e22</t>
        </is>
      </c>
      <c r="B205" s="4" t="inlineStr">
        <is>
          <t>8AJPU5S6SC60T63ZX</t>
        </is>
      </c>
      <c r="C205" s="4" t="inlineStr">
        <is>
          <t>2024-08-28</t>
        </is>
      </c>
      <c r="D205" s="5" t="inlineStr">
        <is>
          <t>Espejo exterior derecho</t>
        </is>
      </c>
      <c r="E205" s="5" t="inlineStr">
        <is>
          <t>Roto</t>
        </is>
      </c>
      <c r="F205" s="4" t="n">
        <v>6</v>
      </c>
      <c r="G205" s="5" t="inlineStr">
        <is>
          <t>Requiere seguimiento</t>
        </is>
      </c>
      <c r="H205" s="5" t="inlineStr">
        <is>
          <t>images/9d205e22_foto.jpg</t>
        </is>
      </c>
      <c r="I205" s="5" t="inlineStr">
        <is>
          <t>images/9d205e22_firma.png</t>
        </is>
      </c>
    </row>
    <row r="206">
      <c r="A206" s="2" t="inlineStr">
        <is>
          <t>548e8c21</t>
        </is>
      </c>
      <c r="B206" s="2" t="inlineStr">
        <is>
          <t>8AJ93EP9R9X4J77CN</t>
        </is>
      </c>
      <c r="C206" s="2" t="inlineStr">
        <is>
          <t>2024-10-20</t>
        </is>
      </c>
      <c r="D206" s="3" t="inlineStr">
        <is>
          <t>Zócalo lateral izquierdo</t>
        </is>
      </c>
      <c r="E206" s="3" t="inlineStr">
        <is>
          <t>Mellado</t>
        </is>
      </c>
      <c r="F206" s="2" t="n">
        <v>8</v>
      </c>
      <c r="G206" s="3" t="inlineStr"/>
      <c r="H206" s="3" t="inlineStr">
        <is>
          <t>images/548e8c21_foto.jpg</t>
        </is>
      </c>
      <c r="I206" s="3" t="inlineStr">
        <is>
          <t>images/548e8c21_firma.png</t>
        </is>
      </c>
    </row>
    <row r="207">
      <c r="A207" s="4" t="inlineStr">
        <is>
          <t>dda4ab19</t>
        </is>
      </c>
      <c r="B207" s="4" t="inlineStr">
        <is>
          <t>8AJ93EP9R9X4J77CN</t>
        </is>
      </c>
      <c r="C207" s="4" t="inlineStr">
        <is>
          <t>2024-10-20</t>
        </is>
      </c>
      <c r="D207" s="5" t="inlineStr">
        <is>
          <t>Pilar delantero izquierdo</t>
        </is>
      </c>
      <c r="E207" s="5" t="inlineStr">
        <is>
          <t>Mellado</t>
        </is>
      </c>
      <c r="F207" s="4" t="n">
        <v>0</v>
      </c>
      <c r="G207" s="5" t="inlineStr"/>
      <c r="H207" s="5" t="inlineStr">
        <is>
          <t>images/dda4ab19_foto.jpg</t>
        </is>
      </c>
      <c r="I207" s="5" t="inlineStr">
        <is>
          <t>images/dda4ab19_firma.png</t>
        </is>
      </c>
    </row>
    <row r="208">
      <c r="A208" s="2" t="inlineStr">
        <is>
          <t>8575e123</t>
        </is>
      </c>
      <c r="B208" s="2" t="inlineStr">
        <is>
          <t>8AJ93EP9R9X4J77CN</t>
        </is>
      </c>
      <c r="C208" s="2" t="inlineStr">
        <is>
          <t>2024-10-20</t>
        </is>
      </c>
      <c r="D208" s="3" t="inlineStr">
        <is>
          <t>Capot</t>
        </is>
      </c>
      <c r="E208" s="3" t="inlineStr">
        <is>
          <t>Desprendido</t>
        </is>
      </c>
      <c r="F208" s="2" t="n">
        <v>9</v>
      </c>
      <c r="G208" s="3" t="inlineStr">
        <is>
          <t>Requiere seguimiento</t>
        </is>
      </c>
      <c r="H208" s="3" t="inlineStr">
        <is>
          <t>images/8575e123_foto.jpg</t>
        </is>
      </c>
      <c r="I208" s="3" t="inlineStr">
        <is>
          <t>images/8575e123_firma.png</t>
        </is>
      </c>
    </row>
    <row r="209">
      <c r="A209" s="4" t="inlineStr">
        <is>
          <t>888c171d</t>
        </is>
      </c>
      <c r="B209" s="4" t="inlineStr">
        <is>
          <t>8AJS52XUPPEW287VD</t>
        </is>
      </c>
      <c r="C209" s="4" t="inlineStr">
        <is>
          <t>2024-12-28</t>
        </is>
      </c>
      <c r="D209" s="5" t="inlineStr">
        <is>
          <t>Interior caja pick-up (Hilux)</t>
        </is>
      </c>
      <c r="E209" s="5" t="inlineStr">
        <is>
          <t>Rayado</t>
        </is>
      </c>
      <c r="F209" s="4" t="n">
        <v>7</v>
      </c>
      <c r="G209" s="5" t="inlineStr"/>
      <c r="H209" s="5" t="inlineStr">
        <is>
          <t>images/888c171d_foto.jpg</t>
        </is>
      </c>
      <c r="I209" s="5" t="inlineStr">
        <is>
          <t>images/888c171d_firma.png</t>
        </is>
      </c>
    </row>
    <row r="210">
      <c r="A210" s="2" t="inlineStr">
        <is>
          <t>45de9c5b</t>
        </is>
      </c>
      <c r="B210" s="2" t="inlineStr">
        <is>
          <t>8AJS52XUPPEW287VD</t>
        </is>
      </c>
      <c r="C210" s="2" t="inlineStr">
        <is>
          <t>2024-12-28</t>
        </is>
      </c>
      <c r="D210" s="3" t="inlineStr">
        <is>
          <t>Paragolpe delantero</t>
        </is>
      </c>
      <c r="E210" s="3" t="inlineStr">
        <is>
          <t>Abollado</t>
        </is>
      </c>
      <c r="F210" s="2" t="n">
        <v>3</v>
      </c>
      <c r="G210" s="3" t="inlineStr"/>
      <c r="H210" s="3" t="inlineStr">
        <is>
          <t>images/45de9c5b_foto.jpg</t>
        </is>
      </c>
      <c r="I210" s="3" t="inlineStr">
        <is>
          <t>images/45de9c5b_firma.png</t>
        </is>
      </c>
    </row>
    <row r="211">
      <c r="A211" s="4" t="inlineStr">
        <is>
          <t>23221bc1</t>
        </is>
      </c>
      <c r="B211" s="4" t="inlineStr">
        <is>
          <t>8AJNTXBKEXZB6LH17</t>
        </is>
      </c>
      <c r="C211" s="4" t="inlineStr">
        <is>
          <t>2024-11-03</t>
        </is>
      </c>
      <c r="D211" s="5" t="inlineStr">
        <is>
          <t>Zócalo lateral izquierdo</t>
        </is>
      </c>
      <c r="E211" s="5" t="inlineStr">
        <is>
          <t>Faltante</t>
        </is>
      </c>
      <c r="F211" s="4" t="n">
        <v>6</v>
      </c>
      <c r="G211" s="5" t="inlineStr"/>
      <c r="H211" s="5" t="inlineStr">
        <is>
          <t>images/23221bc1_foto.jpg</t>
        </is>
      </c>
      <c r="I211" s="5" t="inlineStr">
        <is>
          <t>images/23221bc1_firma.png</t>
        </is>
      </c>
    </row>
    <row r="212">
      <c r="A212" s="2" t="inlineStr">
        <is>
          <t>30a97e04</t>
        </is>
      </c>
      <c r="B212" s="2" t="inlineStr">
        <is>
          <t>8AJNTXBKEXZB6LH17</t>
        </is>
      </c>
      <c r="C212" s="2" t="inlineStr">
        <is>
          <t>2024-11-03</t>
        </is>
      </c>
      <c r="D212" s="3" t="inlineStr">
        <is>
          <t>Paragolpe delantero</t>
        </is>
      </c>
      <c r="E212" s="3" t="inlineStr">
        <is>
          <t>Abollado</t>
        </is>
      </c>
      <c r="F212" s="2" t="n">
        <v>1</v>
      </c>
      <c r="G212" s="3" t="inlineStr">
        <is>
          <t>Leve</t>
        </is>
      </c>
      <c r="H212" s="3" t="inlineStr">
        <is>
          <t>images/30a97e04_foto.jpg</t>
        </is>
      </c>
      <c r="I212" s="3" t="inlineStr">
        <is>
          <t>images/30a97e04_firma.png</t>
        </is>
      </c>
    </row>
    <row r="213">
      <c r="A213" s="4" t="inlineStr">
        <is>
          <t>3e251dff</t>
        </is>
      </c>
      <c r="B213" s="4" t="inlineStr">
        <is>
          <t>8AJNTXBKEXZB6LH17</t>
        </is>
      </c>
      <c r="C213" s="4" t="inlineStr">
        <is>
          <t>2024-11-03</t>
        </is>
      </c>
      <c r="D213" s="5" t="inlineStr">
        <is>
          <t>Optica delantera derecha</t>
        </is>
      </c>
      <c r="E213" s="5" t="inlineStr">
        <is>
          <t>Roto</t>
        </is>
      </c>
      <c r="F213" s="4" t="n">
        <v>2</v>
      </c>
      <c r="G213" s="5" t="inlineStr">
        <is>
          <t>Leve</t>
        </is>
      </c>
      <c r="H213" s="5" t="inlineStr">
        <is>
          <t>images/3e251dff_foto.jpg</t>
        </is>
      </c>
      <c r="I213" s="5" t="inlineStr">
        <is>
          <t>images/3e251dff_firma.png</t>
        </is>
      </c>
    </row>
    <row r="214">
      <c r="A214" s="2" t="inlineStr">
        <is>
          <t>981dc8bf</t>
        </is>
      </c>
      <c r="B214" s="2" t="inlineStr">
        <is>
          <t>8AJKTZD5E9R4JPYGG</t>
        </is>
      </c>
      <c r="C214" s="2" t="inlineStr">
        <is>
          <t>2025-02-20</t>
        </is>
      </c>
      <c r="D214" s="3" t="inlineStr">
        <is>
          <t>Guardabarro trasero izquierdo</t>
        </is>
      </c>
      <c r="E214" s="3" t="inlineStr">
        <is>
          <t>Desprendido</t>
        </is>
      </c>
      <c r="F214" s="2" t="n">
        <v>0</v>
      </c>
      <c r="G214" s="3" t="inlineStr">
        <is>
          <t>Requiere seguimiento</t>
        </is>
      </c>
      <c r="H214" s="3" t="inlineStr">
        <is>
          <t>images/981dc8bf_foto.jpg</t>
        </is>
      </c>
      <c r="I214" s="3" t="inlineStr">
        <is>
          <t>images/981dc8bf_firma.png</t>
        </is>
      </c>
    </row>
    <row r="215">
      <c r="A215" s="4" t="inlineStr">
        <is>
          <t>138b597f</t>
        </is>
      </c>
      <c r="B215" s="4" t="inlineStr">
        <is>
          <t>8AJKTZD5E9R4JPYGG</t>
        </is>
      </c>
      <c r="C215" s="4" t="inlineStr">
        <is>
          <t>2025-02-20</t>
        </is>
      </c>
      <c r="D215" s="5" t="inlineStr">
        <is>
          <t>Guardabarro trasero izquierdo</t>
        </is>
      </c>
      <c r="E215" s="5" t="inlineStr">
        <is>
          <t>Roto</t>
        </is>
      </c>
      <c r="F215" s="4" t="n">
        <v>6</v>
      </c>
      <c r="G215" s="5" t="inlineStr">
        <is>
          <t>Revisar</t>
        </is>
      </c>
      <c r="H215" s="5" t="inlineStr">
        <is>
          <t>images/138b597f_foto.jpg</t>
        </is>
      </c>
      <c r="I215" s="5" t="inlineStr">
        <is>
          <t>images/138b597f_firma.png</t>
        </is>
      </c>
    </row>
    <row r="216">
      <c r="A216" s="2" t="inlineStr">
        <is>
          <t>112cb805</t>
        </is>
      </c>
      <c r="B216" s="2" t="inlineStr">
        <is>
          <t>8AJX800K65SHKUXWA</t>
        </is>
      </c>
      <c r="C216" s="2" t="inlineStr">
        <is>
          <t>2024-10-31</t>
        </is>
      </c>
      <c r="D216" s="3" t="inlineStr">
        <is>
          <t>Guardabarro delantero izquierdo</t>
        </is>
      </c>
      <c r="E216" s="3" t="inlineStr">
        <is>
          <t>Doblado</t>
        </is>
      </c>
      <c r="F216" s="2" t="n">
        <v>4</v>
      </c>
      <c r="G216" s="3" t="inlineStr">
        <is>
          <t>Revisar</t>
        </is>
      </c>
      <c r="H216" s="3" t="inlineStr">
        <is>
          <t>images/112cb805_foto.jpg</t>
        </is>
      </c>
      <c r="I216" s="3" t="inlineStr">
        <is>
          <t>images/112cb805_firma.png</t>
        </is>
      </c>
    </row>
    <row r="217">
      <c r="A217" s="4" t="inlineStr">
        <is>
          <t>94f784d3</t>
        </is>
      </c>
      <c r="B217" s="4" t="inlineStr">
        <is>
          <t>8AJX800K65SHKUXWA</t>
        </is>
      </c>
      <c r="C217" s="4" t="inlineStr">
        <is>
          <t>2024-10-31</t>
        </is>
      </c>
      <c r="D217" s="5" t="inlineStr">
        <is>
          <t>Guardabarro delantero derecho</t>
        </is>
      </c>
      <c r="E217" s="5" t="inlineStr">
        <is>
          <t>Faltante</t>
        </is>
      </c>
      <c r="F217" s="4" t="n">
        <v>5</v>
      </c>
      <c r="G217" s="5" t="inlineStr"/>
      <c r="H217" s="5" t="inlineStr">
        <is>
          <t>images/94f784d3_foto.jpg</t>
        </is>
      </c>
      <c r="I217" s="5" t="inlineStr">
        <is>
          <t>images/94f784d3_firma.png</t>
        </is>
      </c>
    </row>
    <row r="218">
      <c r="A218" s="2" t="inlineStr">
        <is>
          <t>0aa68a16</t>
        </is>
      </c>
      <c r="B218" s="2" t="inlineStr">
        <is>
          <t>8AJX800K65SHKUXWA</t>
        </is>
      </c>
      <c r="C218" s="2" t="inlineStr">
        <is>
          <t>2024-10-31</t>
        </is>
      </c>
      <c r="D218" s="3" t="inlineStr">
        <is>
          <t>Puerta trasera izquierda</t>
        </is>
      </c>
      <c r="E218" s="3" t="inlineStr">
        <is>
          <t>Cortado</t>
        </is>
      </c>
      <c r="F218" s="2" t="n">
        <v>1</v>
      </c>
      <c r="G218" s="3" t="inlineStr">
        <is>
          <t>Requiere seguimiento</t>
        </is>
      </c>
      <c r="H218" s="3" t="inlineStr">
        <is>
          <t>images/0aa68a16_foto.jpg</t>
        </is>
      </c>
      <c r="I218" s="3" t="inlineStr">
        <is>
          <t>images/0aa68a16_firma.png</t>
        </is>
      </c>
    </row>
    <row r="219">
      <c r="A219" s="4" t="inlineStr">
        <is>
          <t>ef1f59f1</t>
        </is>
      </c>
      <c r="B219" s="4" t="inlineStr">
        <is>
          <t>8AJX800K65SHKUXWA</t>
        </is>
      </c>
      <c r="C219" s="4" t="inlineStr">
        <is>
          <t>2024-10-31</t>
        </is>
      </c>
      <c r="D219" s="5" t="inlineStr">
        <is>
          <t>Pilar delantero izquierdo</t>
        </is>
      </c>
      <c r="E219" s="5" t="inlineStr">
        <is>
          <t>Doblado</t>
        </is>
      </c>
      <c r="F219" s="4" t="n">
        <v>7</v>
      </c>
      <c r="G219" s="5" t="inlineStr"/>
      <c r="H219" s="5" t="inlineStr">
        <is>
          <t>images/ef1f59f1_foto.jpg</t>
        </is>
      </c>
      <c r="I219" s="5" t="inlineStr">
        <is>
          <t>images/ef1f59f1_firma.png</t>
        </is>
      </c>
    </row>
    <row r="220">
      <c r="A220" s="2" t="inlineStr">
        <is>
          <t>c9ccf5af</t>
        </is>
      </c>
      <c r="B220" s="2" t="inlineStr">
        <is>
          <t>8AJSMKLKY8YGUHB53</t>
        </is>
      </c>
      <c r="C220" s="2" t="inlineStr">
        <is>
          <t>2024-08-11</t>
        </is>
      </c>
      <c r="D220" s="3" t="inlineStr">
        <is>
          <t>Techo</t>
        </is>
      </c>
      <c r="E220" s="3" t="inlineStr">
        <is>
          <t>Desprendido</t>
        </is>
      </c>
      <c r="F220" s="2" t="n">
        <v>4</v>
      </c>
      <c r="G220" s="3" t="inlineStr"/>
      <c r="H220" s="3" t="inlineStr">
        <is>
          <t>images/c9ccf5af_foto.jpg</t>
        </is>
      </c>
      <c r="I220" s="3" t="inlineStr">
        <is>
          <t>images/c9ccf5af_firma.png</t>
        </is>
      </c>
    </row>
    <row r="221">
      <c r="A221" s="4" t="inlineStr">
        <is>
          <t>c147a210</t>
        </is>
      </c>
      <c r="B221" s="4" t="inlineStr">
        <is>
          <t>8AJSMKLKY8YGUHB53</t>
        </is>
      </c>
      <c r="C221" s="4" t="inlineStr">
        <is>
          <t>2024-08-11</t>
        </is>
      </c>
      <c r="D221" s="5" t="inlineStr">
        <is>
          <t>Guardabarro delantero derecho</t>
        </is>
      </c>
      <c r="E221" s="5" t="inlineStr">
        <is>
          <t>Faltante</t>
        </is>
      </c>
      <c r="F221" s="4" t="n">
        <v>0</v>
      </c>
      <c r="G221" s="5" t="inlineStr"/>
      <c r="H221" s="5" t="inlineStr">
        <is>
          <t>images/c147a210_foto.jpg</t>
        </is>
      </c>
      <c r="I221" s="5" t="inlineStr">
        <is>
          <t>images/c147a210_firma.png</t>
        </is>
      </c>
    </row>
    <row r="222">
      <c r="A222" s="2" t="inlineStr">
        <is>
          <t>a2911ccc</t>
        </is>
      </c>
      <c r="B222" s="2" t="inlineStr">
        <is>
          <t>8AJY9JPNB0VG0HU26</t>
        </is>
      </c>
      <c r="C222" s="2" t="inlineStr">
        <is>
          <t>2024-08-27</t>
        </is>
      </c>
      <c r="D222" s="3" t="inlineStr">
        <is>
          <t>Capot</t>
        </is>
      </c>
      <c r="E222" s="3" t="inlineStr">
        <is>
          <t>Fallo de pintura</t>
        </is>
      </c>
      <c r="F222" s="2" t="n">
        <v>7</v>
      </c>
      <c r="G222" s="3" t="inlineStr">
        <is>
          <t>Revisar</t>
        </is>
      </c>
      <c r="H222" s="3" t="inlineStr">
        <is>
          <t>images/a2911ccc_foto.jpg</t>
        </is>
      </c>
      <c r="I222" s="3" t="inlineStr">
        <is>
          <t>images/a2911ccc_firma.png</t>
        </is>
      </c>
    </row>
    <row r="223">
      <c r="A223" s="4" t="inlineStr">
        <is>
          <t>8c80cfe1</t>
        </is>
      </c>
      <c r="B223" s="4" t="inlineStr">
        <is>
          <t>8AJFDEJ32GZMCM1L3</t>
        </is>
      </c>
      <c r="C223" s="4" t="inlineStr">
        <is>
          <t>2025-03-27</t>
        </is>
      </c>
      <c r="D223" s="5" t="inlineStr">
        <is>
          <t>Optica trasera izquierda</t>
        </is>
      </c>
      <c r="E223" s="5" t="inlineStr">
        <is>
          <t>Roto</t>
        </is>
      </c>
      <c r="F223" s="4" t="n">
        <v>6</v>
      </c>
      <c r="G223" s="5" t="inlineStr">
        <is>
          <t>Revisar</t>
        </is>
      </c>
      <c r="H223" s="5" t="inlineStr">
        <is>
          <t>images/8c80cfe1_foto.jpg</t>
        </is>
      </c>
      <c r="I223" s="5" t="inlineStr">
        <is>
          <t>images/8c80cfe1_firma.png</t>
        </is>
      </c>
    </row>
    <row r="224">
      <c r="A224" s="2" t="inlineStr">
        <is>
          <t>08d4b72b</t>
        </is>
      </c>
      <c r="B224" s="2" t="inlineStr">
        <is>
          <t>8AJSDBXWXSGDZUP5E</t>
        </is>
      </c>
      <c r="C224" s="2" t="inlineStr">
        <is>
          <t>2025-03-19</t>
        </is>
      </c>
      <c r="D224" s="3" t="inlineStr">
        <is>
          <t>Techo</t>
        </is>
      </c>
      <c r="E224" s="3" t="inlineStr">
        <is>
          <t>Abollado</t>
        </is>
      </c>
      <c r="F224" s="2" t="n">
        <v>9</v>
      </c>
      <c r="G224" s="3" t="inlineStr">
        <is>
          <t>Requiere seguimiento</t>
        </is>
      </c>
      <c r="H224" s="3" t="inlineStr">
        <is>
          <t>images/08d4b72b_foto.jpg</t>
        </is>
      </c>
      <c r="I224" s="3" t="inlineStr">
        <is>
          <t>images/08d4b72b_firma.png</t>
        </is>
      </c>
    </row>
    <row r="225">
      <c r="A225" s="4" t="inlineStr">
        <is>
          <t>88782049</t>
        </is>
      </c>
      <c r="B225" s="4" t="inlineStr">
        <is>
          <t>8AJE5FCL9LBRG2WF2</t>
        </is>
      </c>
      <c r="C225" s="4" t="inlineStr">
        <is>
          <t>2025-01-06</t>
        </is>
      </c>
      <c r="D225" s="5" t="inlineStr">
        <is>
          <t>Optica delantera izquierda</t>
        </is>
      </c>
      <c r="E225" s="5" t="inlineStr">
        <is>
          <t>Cortado</t>
        </is>
      </c>
      <c r="F225" s="4" t="n">
        <v>5</v>
      </c>
      <c r="G225" s="5" t="inlineStr"/>
      <c r="H225" s="5" t="inlineStr">
        <is>
          <t>images/88782049_foto.jpg</t>
        </is>
      </c>
      <c r="I225" s="5" t="inlineStr">
        <is>
          <t>images/88782049_firma.png</t>
        </is>
      </c>
    </row>
    <row r="226">
      <c r="A226" s="2" t="inlineStr">
        <is>
          <t>00d5b0e5</t>
        </is>
      </c>
      <c r="B226" s="2" t="inlineStr">
        <is>
          <t>8AJRSAU1861UAA1H5</t>
        </is>
      </c>
      <c r="C226" s="2" t="inlineStr">
        <is>
          <t>2024-12-14</t>
        </is>
      </c>
      <c r="D226" s="3" t="inlineStr">
        <is>
          <t>Guardabarro delantero izquierdo</t>
        </is>
      </c>
      <c r="E226" s="3" t="inlineStr">
        <is>
          <t>Doblado</t>
        </is>
      </c>
      <c r="F226" s="2" t="n">
        <v>5</v>
      </c>
      <c r="G226" s="3" t="inlineStr"/>
      <c r="H226" s="3" t="inlineStr">
        <is>
          <t>images/00d5b0e5_foto.jpg</t>
        </is>
      </c>
      <c r="I226" s="3" t="inlineStr">
        <is>
          <t>images/00d5b0e5_firma.png</t>
        </is>
      </c>
    </row>
    <row r="227">
      <c r="A227" s="4" t="inlineStr">
        <is>
          <t>03341bd1</t>
        </is>
      </c>
      <c r="B227" s="4" t="inlineStr">
        <is>
          <t>8AJWF4KK1WM69M6MG</t>
        </is>
      </c>
      <c r="C227" s="4" t="inlineStr">
        <is>
          <t>2024-09-23</t>
        </is>
      </c>
      <c r="D227" s="5" t="inlineStr">
        <is>
          <t>Guardabarro trasero izquierdo</t>
        </is>
      </c>
      <c r="E227" s="5" t="inlineStr">
        <is>
          <t>Rayado</t>
        </is>
      </c>
      <c r="F227" s="4" t="n">
        <v>8</v>
      </c>
      <c r="G227" s="5" t="inlineStr"/>
      <c r="H227" s="5" t="inlineStr">
        <is>
          <t>images/03341bd1_foto.jpg</t>
        </is>
      </c>
      <c r="I227" s="5" t="inlineStr">
        <is>
          <t>images/03341bd1_firma.png</t>
        </is>
      </c>
    </row>
    <row r="228">
      <c r="A228" s="2" t="inlineStr">
        <is>
          <t>68607059</t>
        </is>
      </c>
      <c r="B228" s="2" t="inlineStr">
        <is>
          <t>8AJNVSFZXKYYJWE4D</t>
        </is>
      </c>
      <c r="C228" s="2" t="inlineStr">
        <is>
          <t>2024-07-29</t>
        </is>
      </c>
      <c r="D228" s="3" t="inlineStr">
        <is>
          <t>Parabrisas delantero</t>
        </is>
      </c>
      <c r="E228" s="3" t="inlineStr">
        <is>
          <t>Cortado</t>
        </is>
      </c>
      <c r="F228" s="2" t="n">
        <v>1</v>
      </c>
      <c r="G228" s="3" t="inlineStr">
        <is>
          <t>Revisar</t>
        </is>
      </c>
      <c r="H228" s="3" t="inlineStr">
        <is>
          <t>images/68607059_foto.jpg</t>
        </is>
      </c>
      <c r="I228" s="3" t="inlineStr">
        <is>
          <t>images/68607059_firma.png</t>
        </is>
      </c>
    </row>
    <row r="229">
      <c r="A229" s="4" t="inlineStr">
        <is>
          <t>1a58c595</t>
        </is>
      </c>
      <c r="B229" s="4" t="inlineStr">
        <is>
          <t>8AJNVSFZXKYYJWE4D</t>
        </is>
      </c>
      <c r="C229" s="4" t="inlineStr">
        <is>
          <t>2024-07-29</t>
        </is>
      </c>
      <c r="D229" s="5" t="inlineStr">
        <is>
          <t>Optica trasera derecha</t>
        </is>
      </c>
      <c r="E229" s="5" t="inlineStr">
        <is>
          <t>Filo de panel</t>
        </is>
      </c>
      <c r="F229" s="4" t="n">
        <v>7</v>
      </c>
      <c r="G229" s="5" t="inlineStr">
        <is>
          <t>Requiere seguimiento</t>
        </is>
      </c>
      <c r="H229" s="5" t="inlineStr">
        <is>
          <t>images/1a58c595_foto.jpg</t>
        </is>
      </c>
      <c r="I229" s="5" t="inlineStr">
        <is>
          <t>images/1a58c595_firma.png</t>
        </is>
      </c>
    </row>
    <row r="230">
      <c r="A230" s="2" t="inlineStr">
        <is>
          <t>cd840f63</t>
        </is>
      </c>
      <c r="B230" s="2" t="inlineStr">
        <is>
          <t>8AJTX249MPFV7ZSHA</t>
        </is>
      </c>
      <c r="C230" s="2" t="inlineStr">
        <is>
          <t>2024-08-16</t>
        </is>
      </c>
      <c r="D230" s="3" t="inlineStr">
        <is>
          <t>Zócalo lateral derecho</t>
        </is>
      </c>
      <c r="E230" s="3" t="inlineStr">
        <is>
          <t>Abollado</t>
        </is>
      </c>
      <c r="F230" s="2" t="n">
        <v>9</v>
      </c>
      <c r="G230" s="3" t="inlineStr"/>
      <c r="H230" s="3" t="inlineStr">
        <is>
          <t>images/cd840f63_foto.jpg</t>
        </is>
      </c>
      <c r="I230" s="3" t="inlineStr">
        <is>
          <t>images/cd840f63_firma.png</t>
        </is>
      </c>
    </row>
    <row r="231">
      <c r="A231" s="4" t="inlineStr">
        <is>
          <t>9498651d</t>
        </is>
      </c>
      <c r="B231" s="4" t="inlineStr">
        <is>
          <t>8AJTX249MPFV7ZSHA</t>
        </is>
      </c>
      <c r="C231" s="4" t="inlineStr">
        <is>
          <t>2024-08-16</t>
        </is>
      </c>
      <c r="D231" s="5" t="inlineStr">
        <is>
          <t>Estribo lateral derecho</t>
        </is>
      </c>
      <c r="E231" s="5" t="inlineStr">
        <is>
          <t>Fallo de pintura</t>
        </is>
      </c>
      <c r="F231" s="4" t="n">
        <v>6</v>
      </c>
      <c r="G231" s="5" t="inlineStr">
        <is>
          <t>Requiere seguimiento</t>
        </is>
      </c>
      <c r="H231" s="5" t="inlineStr">
        <is>
          <t>images/9498651d_foto.jpg</t>
        </is>
      </c>
      <c r="I231" s="5" t="inlineStr">
        <is>
          <t>images/9498651d_firma.png</t>
        </is>
      </c>
    </row>
    <row r="232">
      <c r="A232" s="2" t="inlineStr">
        <is>
          <t>3697c20b</t>
        </is>
      </c>
      <c r="B232" s="2" t="inlineStr">
        <is>
          <t>8AJ2C06YS9JB355MZ</t>
        </is>
      </c>
      <c r="C232" s="2" t="inlineStr">
        <is>
          <t>2024-07-19</t>
        </is>
      </c>
      <c r="D232" s="3" t="inlineStr">
        <is>
          <t>Pilar trasero derecho</t>
        </is>
      </c>
      <c r="E232" s="3" t="inlineStr">
        <is>
          <t>Mellado</t>
        </is>
      </c>
      <c r="F232" s="2" t="n">
        <v>9</v>
      </c>
      <c r="G232" s="3" t="inlineStr">
        <is>
          <t>Revisar</t>
        </is>
      </c>
      <c r="H232" s="3" t="inlineStr">
        <is>
          <t>images/3697c20b_foto.jpg</t>
        </is>
      </c>
      <c r="I232" s="3" t="inlineStr">
        <is>
          <t>images/3697c20b_firma.png</t>
        </is>
      </c>
    </row>
    <row r="233">
      <c r="A233" s="4" t="inlineStr">
        <is>
          <t>b7e89c69</t>
        </is>
      </c>
      <c r="B233" s="4" t="inlineStr">
        <is>
          <t>8AJE094D7SVRX2X56</t>
        </is>
      </c>
      <c r="C233" s="4" t="inlineStr">
        <is>
          <t>2024-07-28</t>
        </is>
      </c>
      <c r="D233" s="5" t="inlineStr">
        <is>
          <t>Puerta delantera izquierda</t>
        </is>
      </c>
      <c r="E233" s="5" t="inlineStr">
        <is>
          <t>Rayado</t>
        </is>
      </c>
      <c r="F233" s="4" t="n">
        <v>8</v>
      </c>
      <c r="G233" s="5" t="inlineStr"/>
      <c r="H233" s="5" t="inlineStr">
        <is>
          <t>images/b7e89c69_foto.jpg</t>
        </is>
      </c>
      <c r="I233" s="5" t="inlineStr">
        <is>
          <t>images/b7e89c69_firma.png</t>
        </is>
      </c>
    </row>
    <row r="234">
      <c r="A234" s="2" t="inlineStr">
        <is>
          <t>522a465d</t>
        </is>
      </c>
      <c r="B234" s="2" t="inlineStr">
        <is>
          <t>8AJE094D7SVRX2X56</t>
        </is>
      </c>
      <c r="C234" s="2" t="inlineStr">
        <is>
          <t>2024-07-28</t>
        </is>
      </c>
      <c r="D234" s="3" t="inlineStr">
        <is>
          <t>Guardabarro delantero derecho</t>
        </is>
      </c>
      <c r="E234" s="3" t="inlineStr">
        <is>
          <t>Filo de panel</t>
        </is>
      </c>
      <c r="F234" s="2" t="n">
        <v>6</v>
      </c>
      <c r="G234" s="3" t="inlineStr"/>
      <c r="H234" s="3" t="inlineStr">
        <is>
          <t>images/522a465d_foto.jpg</t>
        </is>
      </c>
      <c r="I234" s="3" t="inlineStr">
        <is>
          <t>images/522a465d_firma.png</t>
        </is>
      </c>
    </row>
    <row r="235">
      <c r="A235" s="4" t="inlineStr">
        <is>
          <t>da496133</t>
        </is>
      </c>
      <c r="B235" s="4" t="inlineStr">
        <is>
          <t>8AJE094D7SVRX2X56</t>
        </is>
      </c>
      <c r="C235" s="4" t="inlineStr">
        <is>
          <t>2024-07-28</t>
        </is>
      </c>
      <c r="D235" s="5" t="inlineStr">
        <is>
          <t>Pilar delantero izquierdo</t>
        </is>
      </c>
      <c r="E235" s="5" t="inlineStr">
        <is>
          <t>Fallo de pintura</t>
        </is>
      </c>
      <c r="F235" s="4" t="n">
        <v>7</v>
      </c>
      <c r="G235" s="5" t="inlineStr">
        <is>
          <t>Revisar</t>
        </is>
      </c>
      <c r="H235" s="5" t="inlineStr">
        <is>
          <t>images/da496133_foto.jpg</t>
        </is>
      </c>
      <c r="I235" s="5" t="inlineStr">
        <is>
          <t>images/da496133_firma.png</t>
        </is>
      </c>
    </row>
    <row r="236">
      <c r="A236" s="2" t="inlineStr">
        <is>
          <t>86a0224c</t>
        </is>
      </c>
      <c r="B236" s="2" t="inlineStr">
        <is>
          <t>8AJE094D7SVRX2X56</t>
        </is>
      </c>
      <c r="C236" s="2" t="inlineStr">
        <is>
          <t>2024-07-28</t>
        </is>
      </c>
      <c r="D236" s="3" t="inlineStr">
        <is>
          <t>Puerta trasera derecha</t>
        </is>
      </c>
      <c r="E236" s="3" t="inlineStr">
        <is>
          <t>Desprendido</t>
        </is>
      </c>
      <c r="F236" s="2" t="n">
        <v>2</v>
      </c>
      <c r="G236" s="3" t="inlineStr">
        <is>
          <t>Requiere seguimiento</t>
        </is>
      </c>
      <c r="H236" s="3" t="inlineStr">
        <is>
          <t>images/86a0224c_foto.jpg</t>
        </is>
      </c>
      <c r="I236" s="3" t="inlineStr">
        <is>
          <t>images/86a0224c_firma.png</t>
        </is>
      </c>
    </row>
    <row r="237">
      <c r="A237" s="4" t="inlineStr">
        <is>
          <t>f70d19de</t>
        </is>
      </c>
      <c r="B237" s="4" t="inlineStr">
        <is>
          <t>8AJRCYA5U10H85UZX</t>
        </is>
      </c>
      <c r="C237" s="4" t="inlineStr">
        <is>
          <t>2025-02-02</t>
        </is>
      </c>
      <c r="D237" s="5" t="inlineStr">
        <is>
          <t>Optica trasera derecha</t>
        </is>
      </c>
      <c r="E237" s="5" t="inlineStr">
        <is>
          <t>Roto</t>
        </is>
      </c>
      <c r="F237" s="4" t="n">
        <v>1</v>
      </c>
      <c r="G237" s="5" t="inlineStr">
        <is>
          <t>Revisar</t>
        </is>
      </c>
      <c r="H237" s="5" t="inlineStr">
        <is>
          <t>images/f70d19de_foto.jpg</t>
        </is>
      </c>
      <c r="I237" s="5" t="inlineStr">
        <is>
          <t>images/f70d19de_firma.png</t>
        </is>
      </c>
    </row>
    <row r="238">
      <c r="A238" s="2" t="inlineStr">
        <is>
          <t>fb21be8d</t>
        </is>
      </c>
      <c r="B238" s="2" t="inlineStr">
        <is>
          <t>8AJRCYA5U10H85UZX</t>
        </is>
      </c>
      <c r="C238" s="2" t="inlineStr">
        <is>
          <t>2025-02-02</t>
        </is>
      </c>
      <c r="D238" s="3" t="inlineStr">
        <is>
          <t>Zócalo lateral izquierdo</t>
        </is>
      </c>
      <c r="E238" s="3" t="inlineStr">
        <is>
          <t>Desprendido</t>
        </is>
      </c>
      <c r="F238" s="2" t="n">
        <v>4</v>
      </c>
      <c r="G238" s="3" t="inlineStr">
        <is>
          <t>Revisar</t>
        </is>
      </c>
      <c r="H238" s="3" t="inlineStr">
        <is>
          <t>images/fb21be8d_foto.jpg</t>
        </is>
      </c>
      <c r="I238" s="3" t="inlineStr">
        <is>
          <t>images/fb21be8d_firma.png</t>
        </is>
      </c>
    </row>
    <row r="239">
      <c r="A239" s="4" t="inlineStr">
        <is>
          <t>e31c596b</t>
        </is>
      </c>
      <c r="B239" s="4" t="inlineStr">
        <is>
          <t>8AJRCYA5U10H85UZX</t>
        </is>
      </c>
      <c r="C239" s="4" t="inlineStr">
        <is>
          <t>2025-02-02</t>
        </is>
      </c>
      <c r="D239" s="5" t="inlineStr">
        <is>
          <t>Parrilla</t>
        </is>
      </c>
      <c r="E239" s="5" t="inlineStr">
        <is>
          <t>Doblado</t>
        </is>
      </c>
      <c r="F239" s="4" t="n">
        <v>3</v>
      </c>
      <c r="G239" s="5" t="inlineStr"/>
      <c r="H239" s="5" t="inlineStr">
        <is>
          <t>images/e31c596b_foto.jpg</t>
        </is>
      </c>
      <c r="I239" s="5" t="inlineStr">
        <is>
          <t>images/e31c596b_firma.png</t>
        </is>
      </c>
    </row>
    <row r="240">
      <c r="A240" s="2" t="inlineStr">
        <is>
          <t>d08b1873</t>
        </is>
      </c>
      <c r="B240" s="2" t="inlineStr">
        <is>
          <t>8AJVND6T41PJGD5H4</t>
        </is>
      </c>
      <c r="C240" s="2" t="inlineStr">
        <is>
          <t>2024-07-26</t>
        </is>
      </c>
      <c r="D240" s="3" t="inlineStr">
        <is>
          <t>Espejo exterior derecho</t>
        </is>
      </c>
      <c r="E240" s="3" t="inlineStr">
        <is>
          <t>Mellado</t>
        </is>
      </c>
      <c r="F240" s="2" t="n">
        <v>5</v>
      </c>
      <c r="G240" s="3" t="inlineStr">
        <is>
          <t>Revisar</t>
        </is>
      </c>
      <c r="H240" s="3" t="inlineStr">
        <is>
          <t>images/d08b1873_foto.jpg</t>
        </is>
      </c>
      <c r="I240" s="3" t="inlineStr">
        <is>
          <t>images/d08b1873_firma.png</t>
        </is>
      </c>
    </row>
    <row r="241">
      <c r="A241" s="4" t="inlineStr">
        <is>
          <t>d0f9dafb</t>
        </is>
      </c>
      <c r="B241" s="4" t="inlineStr">
        <is>
          <t>8AJBXZE6SWT8A1VRW</t>
        </is>
      </c>
      <c r="C241" s="4" t="inlineStr">
        <is>
          <t>2025-03-24</t>
        </is>
      </c>
      <c r="D241" s="5" t="inlineStr">
        <is>
          <t>Pilar delantero derecho</t>
        </is>
      </c>
      <c r="E241" s="5" t="inlineStr">
        <is>
          <t>Filo de panel</t>
        </is>
      </c>
      <c r="F241" s="4" t="n">
        <v>4</v>
      </c>
      <c r="G241" s="5" t="inlineStr">
        <is>
          <t>Leve</t>
        </is>
      </c>
      <c r="H241" s="5" t="inlineStr">
        <is>
          <t>images/d0f9dafb_foto.jpg</t>
        </is>
      </c>
      <c r="I241" s="5" t="inlineStr">
        <is>
          <t>images/d0f9dafb_firma.png</t>
        </is>
      </c>
    </row>
    <row r="242">
      <c r="A242" s="2" t="inlineStr">
        <is>
          <t>6abea837</t>
        </is>
      </c>
      <c r="B242" s="2" t="inlineStr">
        <is>
          <t>8AJBXZE6SWT8A1VRW</t>
        </is>
      </c>
      <c r="C242" s="2" t="inlineStr">
        <is>
          <t>2025-03-24</t>
        </is>
      </c>
      <c r="D242" s="3" t="inlineStr">
        <is>
          <t>Paragolpe delantero</t>
        </is>
      </c>
      <c r="E242" s="3" t="inlineStr">
        <is>
          <t>Doblado</t>
        </is>
      </c>
      <c r="F242" s="2" t="n">
        <v>4</v>
      </c>
      <c r="G242" s="3" t="inlineStr"/>
      <c r="H242" s="3" t="inlineStr">
        <is>
          <t>images/6abea837_foto.jpg</t>
        </is>
      </c>
      <c r="I242" s="3" t="inlineStr">
        <is>
          <t>images/6abea837_firma.png</t>
        </is>
      </c>
    </row>
    <row r="243">
      <c r="A243" s="4" t="inlineStr">
        <is>
          <t>33eeaec6</t>
        </is>
      </c>
      <c r="B243" s="4" t="inlineStr">
        <is>
          <t>8AJ4VL1VHG0Z7E09F</t>
        </is>
      </c>
      <c r="C243" s="4" t="inlineStr">
        <is>
          <t>2024-07-30</t>
        </is>
      </c>
      <c r="D243" s="5" t="inlineStr">
        <is>
          <t>Paragolpe trasero</t>
        </is>
      </c>
      <c r="E243" s="5" t="inlineStr">
        <is>
          <t>Fallo de pintura</t>
        </is>
      </c>
      <c r="F243" s="4" t="n">
        <v>1</v>
      </c>
      <c r="G243" s="5" t="inlineStr">
        <is>
          <t>Revisar</t>
        </is>
      </c>
      <c r="H243" s="5" t="inlineStr">
        <is>
          <t>images/33eeaec6_foto.jpg</t>
        </is>
      </c>
      <c r="I243" s="5" t="inlineStr">
        <is>
          <t>images/33eeaec6_firma.png</t>
        </is>
      </c>
    </row>
    <row r="244">
      <c r="A244" s="2" t="inlineStr">
        <is>
          <t>76dbeddb</t>
        </is>
      </c>
      <c r="B244" s="2" t="inlineStr">
        <is>
          <t>8AJ4VL1VHG0Z7E09F</t>
        </is>
      </c>
      <c r="C244" s="2" t="inlineStr">
        <is>
          <t>2024-07-30</t>
        </is>
      </c>
      <c r="D244" s="3" t="inlineStr">
        <is>
          <t>Estribo lateral derecho</t>
        </is>
      </c>
      <c r="E244" s="3" t="inlineStr">
        <is>
          <t>Abollado</t>
        </is>
      </c>
      <c r="F244" s="2" t="n">
        <v>5</v>
      </c>
      <c r="G244" s="3" t="inlineStr">
        <is>
          <t>Revisar</t>
        </is>
      </c>
      <c r="H244" s="3" t="inlineStr">
        <is>
          <t>images/76dbeddb_foto.jpg</t>
        </is>
      </c>
      <c r="I244" s="3" t="inlineStr">
        <is>
          <t>images/76dbeddb_firma.png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2" customWidth="1" min="4" max="4"/>
    <col width="18" customWidth="1" min="5" max="5"/>
    <col width="10" customWidth="1" min="6" max="6"/>
    <col width="16" customWidth="1" min="7" max="7"/>
    <col width="36" customWidth="1" min="8" max="8"/>
    <col width="22" customWidth="1" min="9" max="9"/>
    <col width="12" customWidth="1" min="10" max="10"/>
    <col width="22" customWidth="1" min="11" max="11"/>
  </cols>
  <sheetData>
    <row r="1" ht="32" customHeight="1">
      <c r="A1" s="6" t="inlineStr">
        <is>
          <t>ID_Inspección</t>
        </is>
      </c>
      <c r="B1" s="6" t="inlineStr">
        <is>
          <t>ID_VIN</t>
        </is>
      </c>
      <c r="C1" s="6" t="inlineStr">
        <is>
          <t>Modelo</t>
        </is>
      </c>
      <c r="D1" s="6" t="inlineStr">
        <is>
          <t>Secuencia</t>
        </is>
      </c>
      <c r="E1" s="6" t="inlineStr">
        <is>
          <t>Fecha de carga</t>
        </is>
      </c>
      <c r="F1" s="6" t="inlineStr">
        <is>
          <t>Equipo</t>
        </is>
      </c>
      <c r="G1" s="6" t="inlineStr">
        <is>
          <t>Destino</t>
        </is>
      </c>
      <c r="H1" s="6" t="inlineStr">
        <is>
          <t>Parte del vehículo</t>
        </is>
      </c>
      <c r="I1" s="6" t="inlineStr">
        <is>
          <t>Tipo de daño</t>
        </is>
      </c>
      <c r="J1" s="6" t="inlineStr">
        <is>
          <t>Cuadrante</t>
        </is>
      </c>
      <c r="K1" s="6" t="inlineStr">
        <is>
          <t>Comentario</t>
        </is>
      </c>
    </row>
    <row r="2">
      <c r="A2" s="7">
        <f>Inspecciones!A2</f>
        <v/>
      </c>
      <c r="B2" s="7">
        <f>Inspecciones!B2</f>
        <v/>
      </c>
      <c r="C2" s="7">
        <f>IFERROR(VLOOKUP(B2,Unidades!A:G,5,FALSE),"")</f>
        <v/>
      </c>
      <c r="D2" s="7">
        <f>IFERROR(VLOOKUP(B2,Unidades!A:G,6,FALSE),"")</f>
        <v/>
      </c>
      <c r="E2" s="7">
        <f>IFERROR(VLOOKUP(B2,Unidades!A:G,7,FALSE),"")</f>
        <v/>
      </c>
      <c r="F2" s="7">
        <f>IFERROR(VLOOKUP(B2,Unidades!A:G,2,FALSE),"")</f>
        <v/>
      </c>
      <c r="G2" s="7">
        <f>IFERROR(VLOOKUP(B2,Unidades!A:G,4,FALSE),"")</f>
        <v/>
      </c>
      <c r="H2" s="7">
        <f>Inspecciones!D2</f>
        <v/>
      </c>
      <c r="I2" s="7">
        <f>Inspecciones!E2</f>
        <v/>
      </c>
      <c r="J2" s="7">
        <f>Inspecciones!F2</f>
        <v/>
      </c>
      <c r="K2" s="7">
        <f>Inspecciones!G2</f>
        <v/>
      </c>
    </row>
    <row r="3">
      <c r="A3" s="8">
        <f>Inspecciones!A3</f>
        <v/>
      </c>
      <c r="B3" s="8">
        <f>Inspecciones!B3</f>
        <v/>
      </c>
      <c r="C3" s="8">
        <f>IFERROR(VLOOKUP(B3,Unidades!A:G,5,FALSE),"")</f>
        <v/>
      </c>
      <c r="D3" s="8">
        <f>IFERROR(VLOOKUP(B3,Unidades!A:G,6,FALSE),"")</f>
        <v/>
      </c>
      <c r="E3" s="8">
        <f>IFERROR(VLOOKUP(B3,Unidades!A:G,7,FALSE),"")</f>
        <v/>
      </c>
      <c r="F3" s="8">
        <f>IFERROR(VLOOKUP(B3,Unidades!A:G,2,FALSE),"")</f>
        <v/>
      </c>
      <c r="G3" s="8">
        <f>IFERROR(VLOOKUP(B3,Unidades!A:G,4,FALSE),"")</f>
        <v/>
      </c>
      <c r="H3" s="8">
        <f>Inspecciones!D3</f>
        <v/>
      </c>
      <c r="I3" s="8">
        <f>Inspecciones!E3</f>
        <v/>
      </c>
      <c r="J3" s="8">
        <f>Inspecciones!F3</f>
        <v/>
      </c>
      <c r="K3" s="8">
        <f>Inspecciones!G3</f>
        <v/>
      </c>
    </row>
    <row r="4">
      <c r="A4" s="7">
        <f>Inspecciones!A4</f>
        <v/>
      </c>
      <c r="B4" s="7">
        <f>Inspecciones!B4</f>
        <v/>
      </c>
      <c r="C4" s="7">
        <f>IFERROR(VLOOKUP(B4,Unidades!A:G,5,FALSE),"")</f>
        <v/>
      </c>
      <c r="D4" s="7">
        <f>IFERROR(VLOOKUP(B4,Unidades!A:G,6,FALSE),"")</f>
        <v/>
      </c>
      <c r="E4" s="7">
        <f>IFERROR(VLOOKUP(B4,Unidades!A:G,7,FALSE),"")</f>
        <v/>
      </c>
      <c r="F4" s="7">
        <f>IFERROR(VLOOKUP(B4,Unidades!A:G,2,FALSE),"")</f>
        <v/>
      </c>
      <c r="G4" s="7">
        <f>IFERROR(VLOOKUP(B4,Unidades!A:G,4,FALSE),"")</f>
        <v/>
      </c>
      <c r="H4" s="7">
        <f>Inspecciones!D4</f>
        <v/>
      </c>
      <c r="I4" s="7">
        <f>Inspecciones!E4</f>
        <v/>
      </c>
      <c r="J4" s="7">
        <f>Inspecciones!F4</f>
        <v/>
      </c>
      <c r="K4" s="7">
        <f>Inspecciones!G4</f>
        <v/>
      </c>
    </row>
    <row r="5">
      <c r="A5" s="8">
        <f>Inspecciones!A5</f>
        <v/>
      </c>
      <c r="B5" s="8">
        <f>Inspecciones!B5</f>
        <v/>
      </c>
      <c r="C5" s="8">
        <f>IFERROR(VLOOKUP(B5,Unidades!A:G,5,FALSE),"")</f>
        <v/>
      </c>
      <c r="D5" s="8">
        <f>IFERROR(VLOOKUP(B5,Unidades!A:G,6,FALSE),"")</f>
        <v/>
      </c>
      <c r="E5" s="8">
        <f>IFERROR(VLOOKUP(B5,Unidades!A:G,7,FALSE),"")</f>
        <v/>
      </c>
      <c r="F5" s="8">
        <f>IFERROR(VLOOKUP(B5,Unidades!A:G,2,FALSE),"")</f>
        <v/>
      </c>
      <c r="G5" s="8">
        <f>IFERROR(VLOOKUP(B5,Unidades!A:G,4,FALSE),"")</f>
        <v/>
      </c>
      <c r="H5" s="8">
        <f>Inspecciones!D5</f>
        <v/>
      </c>
      <c r="I5" s="8">
        <f>Inspecciones!E5</f>
        <v/>
      </c>
      <c r="J5" s="8">
        <f>Inspecciones!F5</f>
        <v/>
      </c>
      <c r="K5" s="8">
        <f>Inspecciones!G5</f>
        <v/>
      </c>
    </row>
    <row r="6">
      <c r="A6" s="7">
        <f>Inspecciones!A6</f>
        <v/>
      </c>
      <c r="B6" s="7">
        <f>Inspecciones!B6</f>
        <v/>
      </c>
      <c r="C6" s="7">
        <f>IFERROR(VLOOKUP(B6,Unidades!A:G,5,FALSE),"")</f>
        <v/>
      </c>
      <c r="D6" s="7">
        <f>IFERROR(VLOOKUP(B6,Unidades!A:G,6,FALSE),"")</f>
        <v/>
      </c>
      <c r="E6" s="7">
        <f>IFERROR(VLOOKUP(B6,Unidades!A:G,7,FALSE),"")</f>
        <v/>
      </c>
      <c r="F6" s="7">
        <f>IFERROR(VLOOKUP(B6,Unidades!A:G,2,FALSE),"")</f>
        <v/>
      </c>
      <c r="G6" s="7">
        <f>IFERROR(VLOOKUP(B6,Unidades!A:G,4,FALSE),"")</f>
        <v/>
      </c>
      <c r="H6" s="7">
        <f>Inspecciones!D6</f>
        <v/>
      </c>
      <c r="I6" s="7">
        <f>Inspecciones!E6</f>
        <v/>
      </c>
      <c r="J6" s="7">
        <f>Inspecciones!F6</f>
        <v/>
      </c>
      <c r="K6" s="7">
        <f>Inspecciones!G6</f>
        <v/>
      </c>
    </row>
    <row r="7">
      <c r="A7" s="8">
        <f>Inspecciones!A7</f>
        <v/>
      </c>
      <c r="B7" s="8">
        <f>Inspecciones!B7</f>
        <v/>
      </c>
      <c r="C7" s="8">
        <f>IFERROR(VLOOKUP(B7,Unidades!A:G,5,FALSE),"")</f>
        <v/>
      </c>
      <c r="D7" s="8">
        <f>IFERROR(VLOOKUP(B7,Unidades!A:G,6,FALSE),"")</f>
        <v/>
      </c>
      <c r="E7" s="8">
        <f>IFERROR(VLOOKUP(B7,Unidades!A:G,7,FALSE),"")</f>
        <v/>
      </c>
      <c r="F7" s="8">
        <f>IFERROR(VLOOKUP(B7,Unidades!A:G,2,FALSE),"")</f>
        <v/>
      </c>
      <c r="G7" s="8">
        <f>IFERROR(VLOOKUP(B7,Unidades!A:G,4,FALSE),"")</f>
        <v/>
      </c>
      <c r="H7" s="8">
        <f>Inspecciones!D7</f>
        <v/>
      </c>
      <c r="I7" s="8">
        <f>Inspecciones!E7</f>
        <v/>
      </c>
      <c r="J7" s="8">
        <f>Inspecciones!F7</f>
        <v/>
      </c>
      <c r="K7" s="8">
        <f>Inspecciones!G7</f>
        <v/>
      </c>
    </row>
    <row r="8">
      <c r="A8" s="7">
        <f>Inspecciones!A8</f>
        <v/>
      </c>
      <c r="B8" s="7">
        <f>Inspecciones!B8</f>
        <v/>
      </c>
      <c r="C8" s="7">
        <f>IFERROR(VLOOKUP(B8,Unidades!A:G,5,FALSE),"")</f>
        <v/>
      </c>
      <c r="D8" s="7">
        <f>IFERROR(VLOOKUP(B8,Unidades!A:G,6,FALSE),"")</f>
        <v/>
      </c>
      <c r="E8" s="7">
        <f>IFERROR(VLOOKUP(B8,Unidades!A:G,7,FALSE),"")</f>
        <v/>
      </c>
      <c r="F8" s="7">
        <f>IFERROR(VLOOKUP(B8,Unidades!A:G,2,FALSE),"")</f>
        <v/>
      </c>
      <c r="G8" s="7">
        <f>IFERROR(VLOOKUP(B8,Unidades!A:G,4,FALSE),"")</f>
        <v/>
      </c>
      <c r="H8" s="7">
        <f>Inspecciones!D8</f>
        <v/>
      </c>
      <c r="I8" s="7">
        <f>Inspecciones!E8</f>
        <v/>
      </c>
      <c r="J8" s="7">
        <f>Inspecciones!F8</f>
        <v/>
      </c>
      <c r="K8" s="7">
        <f>Inspecciones!G8</f>
        <v/>
      </c>
    </row>
    <row r="9">
      <c r="A9" s="8">
        <f>Inspecciones!A9</f>
        <v/>
      </c>
      <c r="B9" s="8">
        <f>Inspecciones!B9</f>
        <v/>
      </c>
      <c r="C9" s="8">
        <f>IFERROR(VLOOKUP(B9,Unidades!A:G,5,FALSE),"")</f>
        <v/>
      </c>
      <c r="D9" s="8">
        <f>IFERROR(VLOOKUP(B9,Unidades!A:G,6,FALSE),"")</f>
        <v/>
      </c>
      <c r="E9" s="8">
        <f>IFERROR(VLOOKUP(B9,Unidades!A:G,7,FALSE),"")</f>
        <v/>
      </c>
      <c r="F9" s="8">
        <f>IFERROR(VLOOKUP(B9,Unidades!A:G,2,FALSE),"")</f>
        <v/>
      </c>
      <c r="G9" s="8">
        <f>IFERROR(VLOOKUP(B9,Unidades!A:G,4,FALSE),"")</f>
        <v/>
      </c>
      <c r="H9" s="8">
        <f>Inspecciones!D9</f>
        <v/>
      </c>
      <c r="I9" s="8">
        <f>Inspecciones!E9</f>
        <v/>
      </c>
      <c r="J9" s="8">
        <f>Inspecciones!F9</f>
        <v/>
      </c>
      <c r="K9" s="8">
        <f>Inspecciones!G9</f>
        <v/>
      </c>
    </row>
    <row r="10">
      <c r="A10" s="7">
        <f>Inspecciones!A10</f>
        <v/>
      </c>
      <c r="B10" s="7">
        <f>Inspecciones!B10</f>
        <v/>
      </c>
      <c r="C10" s="7">
        <f>IFERROR(VLOOKUP(B10,Unidades!A:G,5,FALSE),"")</f>
        <v/>
      </c>
      <c r="D10" s="7">
        <f>IFERROR(VLOOKUP(B10,Unidades!A:G,6,FALSE),"")</f>
        <v/>
      </c>
      <c r="E10" s="7">
        <f>IFERROR(VLOOKUP(B10,Unidades!A:G,7,FALSE),"")</f>
        <v/>
      </c>
      <c r="F10" s="7">
        <f>IFERROR(VLOOKUP(B10,Unidades!A:G,2,FALSE),"")</f>
        <v/>
      </c>
      <c r="G10" s="7">
        <f>IFERROR(VLOOKUP(B10,Unidades!A:G,4,FALSE),"")</f>
        <v/>
      </c>
      <c r="H10" s="7">
        <f>Inspecciones!D10</f>
        <v/>
      </c>
      <c r="I10" s="7">
        <f>Inspecciones!E10</f>
        <v/>
      </c>
      <c r="J10" s="7">
        <f>Inspecciones!F10</f>
        <v/>
      </c>
      <c r="K10" s="7">
        <f>Inspecciones!G10</f>
        <v/>
      </c>
    </row>
    <row r="11">
      <c r="A11" s="8">
        <f>Inspecciones!A11</f>
        <v/>
      </c>
      <c r="B11" s="8">
        <f>Inspecciones!B11</f>
        <v/>
      </c>
      <c r="C11" s="8">
        <f>IFERROR(VLOOKUP(B11,Unidades!A:G,5,FALSE),"")</f>
        <v/>
      </c>
      <c r="D11" s="8">
        <f>IFERROR(VLOOKUP(B11,Unidades!A:G,6,FALSE),"")</f>
        <v/>
      </c>
      <c r="E11" s="8">
        <f>IFERROR(VLOOKUP(B11,Unidades!A:G,7,FALSE),"")</f>
        <v/>
      </c>
      <c r="F11" s="8">
        <f>IFERROR(VLOOKUP(B11,Unidades!A:G,2,FALSE),"")</f>
        <v/>
      </c>
      <c r="G11" s="8">
        <f>IFERROR(VLOOKUP(B11,Unidades!A:G,4,FALSE),"")</f>
        <v/>
      </c>
      <c r="H11" s="8">
        <f>Inspecciones!D11</f>
        <v/>
      </c>
      <c r="I11" s="8">
        <f>Inspecciones!E11</f>
        <v/>
      </c>
      <c r="J11" s="8">
        <f>Inspecciones!F11</f>
        <v/>
      </c>
      <c r="K11" s="8">
        <f>Inspecciones!G11</f>
        <v/>
      </c>
    </row>
    <row r="12">
      <c r="A12" s="7">
        <f>Inspecciones!A12</f>
        <v/>
      </c>
      <c r="B12" s="7">
        <f>Inspecciones!B12</f>
        <v/>
      </c>
      <c r="C12" s="7">
        <f>IFERROR(VLOOKUP(B12,Unidades!A:G,5,FALSE),"")</f>
        <v/>
      </c>
      <c r="D12" s="7">
        <f>IFERROR(VLOOKUP(B12,Unidades!A:G,6,FALSE),"")</f>
        <v/>
      </c>
      <c r="E12" s="7">
        <f>IFERROR(VLOOKUP(B12,Unidades!A:G,7,FALSE),"")</f>
        <v/>
      </c>
      <c r="F12" s="7">
        <f>IFERROR(VLOOKUP(B12,Unidades!A:G,2,FALSE),"")</f>
        <v/>
      </c>
      <c r="G12" s="7">
        <f>IFERROR(VLOOKUP(B12,Unidades!A:G,4,FALSE),"")</f>
        <v/>
      </c>
      <c r="H12" s="7">
        <f>Inspecciones!D12</f>
        <v/>
      </c>
      <c r="I12" s="7">
        <f>Inspecciones!E12</f>
        <v/>
      </c>
      <c r="J12" s="7">
        <f>Inspecciones!F12</f>
        <v/>
      </c>
      <c r="K12" s="7">
        <f>Inspecciones!G12</f>
        <v/>
      </c>
    </row>
    <row r="13">
      <c r="A13" s="8">
        <f>Inspecciones!A13</f>
        <v/>
      </c>
      <c r="B13" s="8">
        <f>Inspecciones!B13</f>
        <v/>
      </c>
      <c r="C13" s="8">
        <f>IFERROR(VLOOKUP(B13,Unidades!A:G,5,FALSE),"")</f>
        <v/>
      </c>
      <c r="D13" s="8">
        <f>IFERROR(VLOOKUP(B13,Unidades!A:G,6,FALSE),"")</f>
        <v/>
      </c>
      <c r="E13" s="8">
        <f>IFERROR(VLOOKUP(B13,Unidades!A:G,7,FALSE),"")</f>
        <v/>
      </c>
      <c r="F13" s="8">
        <f>IFERROR(VLOOKUP(B13,Unidades!A:G,2,FALSE),"")</f>
        <v/>
      </c>
      <c r="G13" s="8">
        <f>IFERROR(VLOOKUP(B13,Unidades!A:G,4,FALSE),"")</f>
        <v/>
      </c>
      <c r="H13" s="8">
        <f>Inspecciones!D13</f>
        <v/>
      </c>
      <c r="I13" s="8">
        <f>Inspecciones!E13</f>
        <v/>
      </c>
      <c r="J13" s="8">
        <f>Inspecciones!F13</f>
        <v/>
      </c>
      <c r="K13" s="8">
        <f>Inspecciones!G13</f>
        <v/>
      </c>
    </row>
    <row r="14">
      <c r="A14" s="7">
        <f>Inspecciones!A14</f>
        <v/>
      </c>
      <c r="B14" s="7">
        <f>Inspecciones!B14</f>
        <v/>
      </c>
      <c r="C14" s="7">
        <f>IFERROR(VLOOKUP(B14,Unidades!A:G,5,FALSE),"")</f>
        <v/>
      </c>
      <c r="D14" s="7">
        <f>IFERROR(VLOOKUP(B14,Unidades!A:G,6,FALSE),"")</f>
        <v/>
      </c>
      <c r="E14" s="7">
        <f>IFERROR(VLOOKUP(B14,Unidades!A:G,7,FALSE),"")</f>
        <v/>
      </c>
      <c r="F14" s="7">
        <f>IFERROR(VLOOKUP(B14,Unidades!A:G,2,FALSE),"")</f>
        <v/>
      </c>
      <c r="G14" s="7">
        <f>IFERROR(VLOOKUP(B14,Unidades!A:G,4,FALSE),"")</f>
        <v/>
      </c>
      <c r="H14" s="7">
        <f>Inspecciones!D14</f>
        <v/>
      </c>
      <c r="I14" s="7">
        <f>Inspecciones!E14</f>
        <v/>
      </c>
      <c r="J14" s="7">
        <f>Inspecciones!F14</f>
        <v/>
      </c>
      <c r="K14" s="7">
        <f>Inspecciones!G14</f>
        <v/>
      </c>
    </row>
    <row r="15">
      <c r="A15" s="8">
        <f>Inspecciones!A15</f>
        <v/>
      </c>
      <c r="B15" s="8">
        <f>Inspecciones!B15</f>
        <v/>
      </c>
      <c r="C15" s="8">
        <f>IFERROR(VLOOKUP(B15,Unidades!A:G,5,FALSE),"")</f>
        <v/>
      </c>
      <c r="D15" s="8">
        <f>IFERROR(VLOOKUP(B15,Unidades!A:G,6,FALSE),"")</f>
        <v/>
      </c>
      <c r="E15" s="8">
        <f>IFERROR(VLOOKUP(B15,Unidades!A:G,7,FALSE),"")</f>
        <v/>
      </c>
      <c r="F15" s="8">
        <f>IFERROR(VLOOKUP(B15,Unidades!A:G,2,FALSE),"")</f>
        <v/>
      </c>
      <c r="G15" s="8">
        <f>IFERROR(VLOOKUP(B15,Unidades!A:G,4,FALSE),"")</f>
        <v/>
      </c>
      <c r="H15" s="8">
        <f>Inspecciones!D15</f>
        <v/>
      </c>
      <c r="I15" s="8">
        <f>Inspecciones!E15</f>
        <v/>
      </c>
      <c r="J15" s="8">
        <f>Inspecciones!F15</f>
        <v/>
      </c>
      <c r="K15" s="8">
        <f>Inspecciones!G15</f>
        <v/>
      </c>
    </row>
    <row r="16">
      <c r="A16" s="7">
        <f>Inspecciones!A16</f>
        <v/>
      </c>
      <c r="B16" s="7">
        <f>Inspecciones!B16</f>
        <v/>
      </c>
      <c r="C16" s="7">
        <f>IFERROR(VLOOKUP(B16,Unidades!A:G,5,FALSE),"")</f>
        <v/>
      </c>
      <c r="D16" s="7">
        <f>IFERROR(VLOOKUP(B16,Unidades!A:G,6,FALSE),"")</f>
        <v/>
      </c>
      <c r="E16" s="7">
        <f>IFERROR(VLOOKUP(B16,Unidades!A:G,7,FALSE),"")</f>
        <v/>
      </c>
      <c r="F16" s="7">
        <f>IFERROR(VLOOKUP(B16,Unidades!A:G,2,FALSE),"")</f>
        <v/>
      </c>
      <c r="G16" s="7">
        <f>IFERROR(VLOOKUP(B16,Unidades!A:G,4,FALSE),"")</f>
        <v/>
      </c>
      <c r="H16" s="7">
        <f>Inspecciones!D16</f>
        <v/>
      </c>
      <c r="I16" s="7">
        <f>Inspecciones!E16</f>
        <v/>
      </c>
      <c r="J16" s="7">
        <f>Inspecciones!F16</f>
        <v/>
      </c>
      <c r="K16" s="7">
        <f>Inspecciones!G16</f>
        <v/>
      </c>
    </row>
    <row r="17">
      <c r="A17" s="8">
        <f>Inspecciones!A17</f>
        <v/>
      </c>
      <c r="B17" s="8">
        <f>Inspecciones!B17</f>
        <v/>
      </c>
      <c r="C17" s="8">
        <f>IFERROR(VLOOKUP(B17,Unidades!A:G,5,FALSE),"")</f>
        <v/>
      </c>
      <c r="D17" s="8">
        <f>IFERROR(VLOOKUP(B17,Unidades!A:G,6,FALSE),"")</f>
        <v/>
      </c>
      <c r="E17" s="8">
        <f>IFERROR(VLOOKUP(B17,Unidades!A:G,7,FALSE),"")</f>
        <v/>
      </c>
      <c r="F17" s="8">
        <f>IFERROR(VLOOKUP(B17,Unidades!A:G,2,FALSE),"")</f>
        <v/>
      </c>
      <c r="G17" s="8">
        <f>IFERROR(VLOOKUP(B17,Unidades!A:G,4,FALSE),"")</f>
        <v/>
      </c>
      <c r="H17" s="8">
        <f>Inspecciones!D17</f>
        <v/>
      </c>
      <c r="I17" s="8">
        <f>Inspecciones!E17</f>
        <v/>
      </c>
      <c r="J17" s="8">
        <f>Inspecciones!F17</f>
        <v/>
      </c>
      <c r="K17" s="8">
        <f>Inspecciones!G17</f>
        <v/>
      </c>
    </row>
    <row r="18">
      <c r="A18" s="7">
        <f>Inspecciones!A18</f>
        <v/>
      </c>
      <c r="B18" s="7">
        <f>Inspecciones!B18</f>
        <v/>
      </c>
      <c r="C18" s="7">
        <f>IFERROR(VLOOKUP(B18,Unidades!A:G,5,FALSE),"")</f>
        <v/>
      </c>
      <c r="D18" s="7">
        <f>IFERROR(VLOOKUP(B18,Unidades!A:G,6,FALSE),"")</f>
        <v/>
      </c>
      <c r="E18" s="7">
        <f>IFERROR(VLOOKUP(B18,Unidades!A:G,7,FALSE),"")</f>
        <v/>
      </c>
      <c r="F18" s="7">
        <f>IFERROR(VLOOKUP(B18,Unidades!A:G,2,FALSE),"")</f>
        <v/>
      </c>
      <c r="G18" s="7">
        <f>IFERROR(VLOOKUP(B18,Unidades!A:G,4,FALSE),"")</f>
        <v/>
      </c>
      <c r="H18" s="7">
        <f>Inspecciones!D18</f>
        <v/>
      </c>
      <c r="I18" s="7">
        <f>Inspecciones!E18</f>
        <v/>
      </c>
      <c r="J18" s="7">
        <f>Inspecciones!F18</f>
        <v/>
      </c>
      <c r="K18" s="7">
        <f>Inspecciones!G18</f>
        <v/>
      </c>
    </row>
    <row r="19">
      <c r="A19" s="8">
        <f>Inspecciones!A19</f>
        <v/>
      </c>
      <c r="B19" s="8">
        <f>Inspecciones!B19</f>
        <v/>
      </c>
      <c r="C19" s="8">
        <f>IFERROR(VLOOKUP(B19,Unidades!A:G,5,FALSE),"")</f>
        <v/>
      </c>
      <c r="D19" s="8">
        <f>IFERROR(VLOOKUP(B19,Unidades!A:G,6,FALSE),"")</f>
        <v/>
      </c>
      <c r="E19" s="8">
        <f>IFERROR(VLOOKUP(B19,Unidades!A:G,7,FALSE),"")</f>
        <v/>
      </c>
      <c r="F19" s="8">
        <f>IFERROR(VLOOKUP(B19,Unidades!A:G,2,FALSE),"")</f>
        <v/>
      </c>
      <c r="G19" s="8">
        <f>IFERROR(VLOOKUP(B19,Unidades!A:G,4,FALSE),"")</f>
        <v/>
      </c>
      <c r="H19" s="8">
        <f>Inspecciones!D19</f>
        <v/>
      </c>
      <c r="I19" s="8">
        <f>Inspecciones!E19</f>
        <v/>
      </c>
      <c r="J19" s="8">
        <f>Inspecciones!F19</f>
        <v/>
      </c>
      <c r="K19" s="8">
        <f>Inspecciones!G19</f>
        <v/>
      </c>
    </row>
    <row r="20">
      <c r="A20" s="7">
        <f>Inspecciones!A20</f>
        <v/>
      </c>
      <c r="B20" s="7">
        <f>Inspecciones!B20</f>
        <v/>
      </c>
      <c r="C20" s="7">
        <f>IFERROR(VLOOKUP(B20,Unidades!A:G,5,FALSE),"")</f>
        <v/>
      </c>
      <c r="D20" s="7">
        <f>IFERROR(VLOOKUP(B20,Unidades!A:G,6,FALSE),"")</f>
        <v/>
      </c>
      <c r="E20" s="7">
        <f>IFERROR(VLOOKUP(B20,Unidades!A:G,7,FALSE),"")</f>
        <v/>
      </c>
      <c r="F20" s="7">
        <f>IFERROR(VLOOKUP(B20,Unidades!A:G,2,FALSE),"")</f>
        <v/>
      </c>
      <c r="G20" s="7">
        <f>IFERROR(VLOOKUP(B20,Unidades!A:G,4,FALSE),"")</f>
        <v/>
      </c>
      <c r="H20" s="7">
        <f>Inspecciones!D20</f>
        <v/>
      </c>
      <c r="I20" s="7">
        <f>Inspecciones!E20</f>
        <v/>
      </c>
      <c r="J20" s="7">
        <f>Inspecciones!F20</f>
        <v/>
      </c>
      <c r="K20" s="7">
        <f>Inspecciones!G20</f>
        <v/>
      </c>
    </row>
    <row r="21">
      <c r="A21" s="8">
        <f>Inspecciones!A21</f>
        <v/>
      </c>
      <c r="B21" s="8">
        <f>Inspecciones!B21</f>
        <v/>
      </c>
      <c r="C21" s="8">
        <f>IFERROR(VLOOKUP(B21,Unidades!A:G,5,FALSE),"")</f>
        <v/>
      </c>
      <c r="D21" s="8">
        <f>IFERROR(VLOOKUP(B21,Unidades!A:G,6,FALSE),"")</f>
        <v/>
      </c>
      <c r="E21" s="8">
        <f>IFERROR(VLOOKUP(B21,Unidades!A:G,7,FALSE),"")</f>
        <v/>
      </c>
      <c r="F21" s="8">
        <f>IFERROR(VLOOKUP(B21,Unidades!A:G,2,FALSE),"")</f>
        <v/>
      </c>
      <c r="G21" s="8">
        <f>IFERROR(VLOOKUP(B21,Unidades!A:G,4,FALSE),"")</f>
        <v/>
      </c>
      <c r="H21" s="8">
        <f>Inspecciones!D21</f>
        <v/>
      </c>
      <c r="I21" s="8">
        <f>Inspecciones!E21</f>
        <v/>
      </c>
      <c r="J21" s="8">
        <f>Inspecciones!F21</f>
        <v/>
      </c>
      <c r="K21" s="8">
        <f>Inspecciones!G21</f>
        <v/>
      </c>
    </row>
    <row r="22">
      <c r="A22" s="7">
        <f>Inspecciones!A22</f>
        <v/>
      </c>
      <c r="B22" s="7">
        <f>Inspecciones!B22</f>
        <v/>
      </c>
      <c r="C22" s="7">
        <f>IFERROR(VLOOKUP(B22,Unidades!A:G,5,FALSE),"")</f>
        <v/>
      </c>
      <c r="D22" s="7">
        <f>IFERROR(VLOOKUP(B22,Unidades!A:G,6,FALSE),"")</f>
        <v/>
      </c>
      <c r="E22" s="7">
        <f>IFERROR(VLOOKUP(B22,Unidades!A:G,7,FALSE),"")</f>
        <v/>
      </c>
      <c r="F22" s="7">
        <f>IFERROR(VLOOKUP(B22,Unidades!A:G,2,FALSE),"")</f>
        <v/>
      </c>
      <c r="G22" s="7">
        <f>IFERROR(VLOOKUP(B22,Unidades!A:G,4,FALSE),"")</f>
        <v/>
      </c>
      <c r="H22" s="7">
        <f>Inspecciones!D22</f>
        <v/>
      </c>
      <c r="I22" s="7">
        <f>Inspecciones!E22</f>
        <v/>
      </c>
      <c r="J22" s="7">
        <f>Inspecciones!F22</f>
        <v/>
      </c>
      <c r="K22" s="7">
        <f>Inspecciones!G22</f>
        <v/>
      </c>
    </row>
    <row r="23">
      <c r="A23" s="8">
        <f>Inspecciones!A23</f>
        <v/>
      </c>
      <c r="B23" s="8">
        <f>Inspecciones!B23</f>
        <v/>
      </c>
      <c r="C23" s="8">
        <f>IFERROR(VLOOKUP(B23,Unidades!A:G,5,FALSE),"")</f>
        <v/>
      </c>
      <c r="D23" s="8">
        <f>IFERROR(VLOOKUP(B23,Unidades!A:G,6,FALSE),"")</f>
        <v/>
      </c>
      <c r="E23" s="8">
        <f>IFERROR(VLOOKUP(B23,Unidades!A:G,7,FALSE),"")</f>
        <v/>
      </c>
      <c r="F23" s="8">
        <f>IFERROR(VLOOKUP(B23,Unidades!A:G,2,FALSE),"")</f>
        <v/>
      </c>
      <c r="G23" s="8">
        <f>IFERROR(VLOOKUP(B23,Unidades!A:G,4,FALSE),"")</f>
        <v/>
      </c>
      <c r="H23" s="8">
        <f>Inspecciones!D23</f>
        <v/>
      </c>
      <c r="I23" s="8">
        <f>Inspecciones!E23</f>
        <v/>
      </c>
      <c r="J23" s="8">
        <f>Inspecciones!F23</f>
        <v/>
      </c>
      <c r="K23" s="8">
        <f>Inspecciones!G23</f>
        <v/>
      </c>
    </row>
    <row r="24">
      <c r="A24" s="7">
        <f>Inspecciones!A24</f>
        <v/>
      </c>
      <c r="B24" s="7">
        <f>Inspecciones!B24</f>
        <v/>
      </c>
      <c r="C24" s="7">
        <f>IFERROR(VLOOKUP(B24,Unidades!A:G,5,FALSE),"")</f>
        <v/>
      </c>
      <c r="D24" s="7">
        <f>IFERROR(VLOOKUP(B24,Unidades!A:G,6,FALSE),"")</f>
        <v/>
      </c>
      <c r="E24" s="7">
        <f>IFERROR(VLOOKUP(B24,Unidades!A:G,7,FALSE),"")</f>
        <v/>
      </c>
      <c r="F24" s="7">
        <f>IFERROR(VLOOKUP(B24,Unidades!A:G,2,FALSE),"")</f>
        <v/>
      </c>
      <c r="G24" s="7">
        <f>IFERROR(VLOOKUP(B24,Unidades!A:G,4,FALSE),"")</f>
        <v/>
      </c>
      <c r="H24" s="7">
        <f>Inspecciones!D24</f>
        <v/>
      </c>
      <c r="I24" s="7">
        <f>Inspecciones!E24</f>
        <v/>
      </c>
      <c r="J24" s="7">
        <f>Inspecciones!F24</f>
        <v/>
      </c>
      <c r="K24" s="7">
        <f>Inspecciones!G24</f>
        <v/>
      </c>
    </row>
    <row r="25">
      <c r="A25" s="8">
        <f>Inspecciones!A25</f>
        <v/>
      </c>
      <c r="B25" s="8">
        <f>Inspecciones!B25</f>
        <v/>
      </c>
      <c r="C25" s="8">
        <f>IFERROR(VLOOKUP(B25,Unidades!A:G,5,FALSE),"")</f>
        <v/>
      </c>
      <c r="D25" s="8">
        <f>IFERROR(VLOOKUP(B25,Unidades!A:G,6,FALSE),"")</f>
        <v/>
      </c>
      <c r="E25" s="8">
        <f>IFERROR(VLOOKUP(B25,Unidades!A:G,7,FALSE),"")</f>
        <v/>
      </c>
      <c r="F25" s="8">
        <f>IFERROR(VLOOKUP(B25,Unidades!A:G,2,FALSE),"")</f>
        <v/>
      </c>
      <c r="G25" s="8">
        <f>IFERROR(VLOOKUP(B25,Unidades!A:G,4,FALSE),"")</f>
        <v/>
      </c>
      <c r="H25" s="8">
        <f>Inspecciones!D25</f>
        <v/>
      </c>
      <c r="I25" s="8">
        <f>Inspecciones!E25</f>
        <v/>
      </c>
      <c r="J25" s="8">
        <f>Inspecciones!F25</f>
        <v/>
      </c>
      <c r="K25" s="8">
        <f>Inspecciones!G25</f>
        <v/>
      </c>
    </row>
    <row r="26">
      <c r="A26" s="7">
        <f>Inspecciones!A26</f>
        <v/>
      </c>
      <c r="B26" s="7">
        <f>Inspecciones!B26</f>
        <v/>
      </c>
      <c r="C26" s="7">
        <f>IFERROR(VLOOKUP(B26,Unidades!A:G,5,FALSE),"")</f>
        <v/>
      </c>
      <c r="D26" s="7">
        <f>IFERROR(VLOOKUP(B26,Unidades!A:G,6,FALSE),"")</f>
        <v/>
      </c>
      <c r="E26" s="7">
        <f>IFERROR(VLOOKUP(B26,Unidades!A:G,7,FALSE),"")</f>
        <v/>
      </c>
      <c r="F26" s="7">
        <f>IFERROR(VLOOKUP(B26,Unidades!A:G,2,FALSE),"")</f>
        <v/>
      </c>
      <c r="G26" s="7">
        <f>IFERROR(VLOOKUP(B26,Unidades!A:G,4,FALSE),"")</f>
        <v/>
      </c>
      <c r="H26" s="7">
        <f>Inspecciones!D26</f>
        <v/>
      </c>
      <c r="I26" s="7">
        <f>Inspecciones!E26</f>
        <v/>
      </c>
      <c r="J26" s="7">
        <f>Inspecciones!F26</f>
        <v/>
      </c>
      <c r="K26" s="7">
        <f>Inspecciones!G26</f>
        <v/>
      </c>
    </row>
    <row r="27">
      <c r="A27" s="8">
        <f>Inspecciones!A27</f>
        <v/>
      </c>
      <c r="B27" s="8">
        <f>Inspecciones!B27</f>
        <v/>
      </c>
      <c r="C27" s="8">
        <f>IFERROR(VLOOKUP(B27,Unidades!A:G,5,FALSE),"")</f>
        <v/>
      </c>
      <c r="D27" s="8">
        <f>IFERROR(VLOOKUP(B27,Unidades!A:G,6,FALSE),"")</f>
        <v/>
      </c>
      <c r="E27" s="8">
        <f>IFERROR(VLOOKUP(B27,Unidades!A:G,7,FALSE),"")</f>
        <v/>
      </c>
      <c r="F27" s="8">
        <f>IFERROR(VLOOKUP(B27,Unidades!A:G,2,FALSE),"")</f>
        <v/>
      </c>
      <c r="G27" s="8">
        <f>IFERROR(VLOOKUP(B27,Unidades!A:G,4,FALSE),"")</f>
        <v/>
      </c>
      <c r="H27" s="8">
        <f>Inspecciones!D27</f>
        <v/>
      </c>
      <c r="I27" s="8">
        <f>Inspecciones!E27</f>
        <v/>
      </c>
      <c r="J27" s="8">
        <f>Inspecciones!F27</f>
        <v/>
      </c>
      <c r="K27" s="8">
        <f>Inspecciones!G27</f>
        <v/>
      </c>
    </row>
    <row r="28">
      <c r="A28" s="7">
        <f>Inspecciones!A28</f>
        <v/>
      </c>
      <c r="B28" s="7">
        <f>Inspecciones!B28</f>
        <v/>
      </c>
      <c r="C28" s="7">
        <f>IFERROR(VLOOKUP(B28,Unidades!A:G,5,FALSE),"")</f>
        <v/>
      </c>
      <c r="D28" s="7">
        <f>IFERROR(VLOOKUP(B28,Unidades!A:G,6,FALSE),"")</f>
        <v/>
      </c>
      <c r="E28" s="7">
        <f>IFERROR(VLOOKUP(B28,Unidades!A:G,7,FALSE),"")</f>
        <v/>
      </c>
      <c r="F28" s="7">
        <f>IFERROR(VLOOKUP(B28,Unidades!A:G,2,FALSE),"")</f>
        <v/>
      </c>
      <c r="G28" s="7">
        <f>IFERROR(VLOOKUP(B28,Unidades!A:G,4,FALSE),"")</f>
        <v/>
      </c>
      <c r="H28" s="7">
        <f>Inspecciones!D28</f>
        <v/>
      </c>
      <c r="I28" s="7">
        <f>Inspecciones!E28</f>
        <v/>
      </c>
      <c r="J28" s="7">
        <f>Inspecciones!F28</f>
        <v/>
      </c>
      <c r="K28" s="7">
        <f>Inspecciones!G28</f>
        <v/>
      </c>
    </row>
    <row r="29">
      <c r="A29" s="8">
        <f>Inspecciones!A29</f>
        <v/>
      </c>
      <c r="B29" s="8">
        <f>Inspecciones!B29</f>
        <v/>
      </c>
      <c r="C29" s="8">
        <f>IFERROR(VLOOKUP(B29,Unidades!A:G,5,FALSE),"")</f>
        <v/>
      </c>
      <c r="D29" s="8">
        <f>IFERROR(VLOOKUP(B29,Unidades!A:G,6,FALSE),"")</f>
        <v/>
      </c>
      <c r="E29" s="8">
        <f>IFERROR(VLOOKUP(B29,Unidades!A:G,7,FALSE),"")</f>
        <v/>
      </c>
      <c r="F29" s="8">
        <f>IFERROR(VLOOKUP(B29,Unidades!A:G,2,FALSE),"")</f>
        <v/>
      </c>
      <c r="G29" s="8">
        <f>IFERROR(VLOOKUP(B29,Unidades!A:G,4,FALSE),"")</f>
        <v/>
      </c>
      <c r="H29" s="8">
        <f>Inspecciones!D29</f>
        <v/>
      </c>
      <c r="I29" s="8">
        <f>Inspecciones!E29</f>
        <v/>
      </c>
      <c r="J29" s="8">
        <f>Inspecciones!F29</f>
        <v/>
      </c>
      <c r="K29" s="8">
        <f>Inspecciones!G29</f>
        <v/>
      </c>
    </row>
    <row r="30">
      <c r="A30" s="7">
        <f>Inspecciones!A30</f>
        <v/>
      </c>
      <c r="B30" s="7">
        <f>Inspecciones!B30</f>
        <v/>
      </c>
      <c r="C30" s="7">
        <f>IFERROR(VLOOKUP(B30,Unidades!A:G,5,FALSE),"")</f>
        <v/>
      </c>
      <c r="D30" s="7">
        <f>IFERROR(VLOOKUP(B30,Unidades!A:G,6,FALSE),"")</f>
        <v/>
      </c>
      <c r="E30" s="7">
        <f>IFERROR(VLOOKUP(B30,Unidades!A:G,7,FALSE),"")</f>
        <v/>
      </c>
      <c r="F30" s="7">
        <f>IFERROR(VLOOKUP(B30,Unidades!A:G,2,FALSE),"")</f>
        <v/>
      </c>
      <c r="G30" s="7">
        <f>IFERROR(VLOOKUP(B30,Unidades!A:G,4,FALSE),"")</f>
        <v/>
      </c>
      <c r="H30" s="7">
        <f>Inspecciones!D30</f>
        <v/>
      </c>
      <c r="I30" s="7">
        <f>Inspecciones!E30</f>
        <v/>
      </c>
      <c r="J30" s="7">
        <f>Inspecciones!F30</f>
        <v/>
      </c>
      <c r="K30" s="7">
        <f>Inspecciones!G30</f>
        <v/>
      </c>
    </row>
    <row r="31">
      <c r="A31" s="8">
        <f>Inspecciones!A31</f>
        <v/>
      </c>
      <c r="B31" s="8">
        <f>Inspecciones!B31</f>
        <v/>
      </c>
      <c r="C31" s="8">
        <f>IFERROR(VLOOKUP(B31,Unidades!A:G,5,FALSE),"")</f>
        <v/>
      </c>
      <c r="D31" s="8">
        <f>IFERROR(VLOOKUP(B31,Unidades!A:G,6,FALSE),"")</f>
        <v/>
      </c>
      <c r="E31" s="8">
        <f>IFERROR(VLOOKUP(B31,Unidades!A:G,7,FALSE),"")</f>
        <v/>
      </c>
      <c r="F31" s="8">
        <f>IFERROR(VLOOKUP(B31,Unidades!A:G,2,FALSE),"")</f>
        <v/>
      </c>
      <c r="G31" s="8">
        <f>IFERROR(VLOOKUP(B31,Unidades!A:G,4,FALSE),"")</f>
        <v/>
      </c>
      <c r="H31" s="8">
        <f>Inspecciones!D31</f>
        <v/>
      </c>
      <c r="I31" s="8">
        <f>Inspecciones!E31</f>
        <v/>
      </c>
      <c r="J31" s="8">
        <f>Inspecciones!F31</f>
        <v/>
      </c>
      <c r="K31" s="8">
        <f>Inspecciones!G31</f>
        <v/>
      </c>
    </row>
    <row r="32">
      <c r="A32" s="7">
        <f>Inspecciones!A32</f>
        <v/>
      </c>
      <c r="B32" s="7">
        <f>Inspecciones!B32</f>
        <v/>
      </c>
      <c r="C32" s="7">
        <f>IFERROR(VLOOKUP(B32,Unidades!A:G,5,FALSE),"")</f>
        <v/>
      </c>
      <c r="D32" s="7">
        <f>IFERROR(VLOOKUP(B32,Unidades!A:G,6,FALSE),"")</f>
        <v/>
      </c>
      <c r="E32" s="7">
        <f>IFERROR(VLOOKUP(B32,Unidades!A:G,7,FALSE),"")</f>
        <v/>
      </c>
      <c r="F32" s="7">
        <f>IFERROR(VLOOKUP(B32,Unidades!A:G,2,FALSE),"")</f>
        <v/>
      </c>
      <c r="G32" s="7">
        <f>IFERROR(VLOOKUP(B32,Unidades!A:G,4,FALSE),"")</f>
        <v/>
      </c>
      <c r="H32" s="7">
        <f>Inspecciones!D32</f>
        <v/>
      </c>
      <c r="I32" s="7">
        <f>Inspecciones!E32</f>
        <v/>
      </c>
      <c r="J32" s="7">
        <f>Inspecciones!F32</f>
        <v/>
      </c>
      <c r="K32" s="7">
        <f>Inspecciones!G32</f>
        <v/>
      </c>
    </row>
    <row r="33">
      <c r="A33" s="8">
        <f>Inspecciones!A33</f>
        <v/>
      </c>
      <c r="B33" s="8">
        <f>Inspecciones!B33</f>
        <v/>
      </c>
      <c r="C33" s="8">
        <f>IFERROR(VLOOKUP(B33,Unidades!A:G,5,FALSE),"")</f>
        <v/>
      </c>
      <c r="D33" s="8">
        <f>IFERROR(VLOOKUP(B33,Unidades!A:G,6,FALSE),"")</f>
        <v/>
      </c>
      <c r="E33" s="8">
        <f>IFERROR(VLOOKUP(B33,Unidades!A:G,7,FALSE),"")</f>
        <v/>
      </c>
      <c r="F33" s="8">
        <f>IFERROR(VLOOKUP(B33,Unidades!A:G,2,FALSE),"")</f>
        <v/>
      </c>
      <c r="G33" s="8">
        <f>IFERROR(VLOOKUP(B33,Unidades!A:G,4,FALSE),"")</f>
        <v/>
      </c>
      <c r="H33" s="8">
        <f>Inspecciones!D33</f>
        <v/>
      </c>
      <c r="I33" s="8">
        <f>Inspecciones!E33</f>
        <v/>
      </c>
      <c r="J33" s="8">
        <f>Inspecciones!F33</f>
        <v/>
      </c>
      <c r="K33" s="8">
        <f>Inspecciones!G33</f>
        <v/>
      </c>
    </row>
    <row r="34">
      <c r="A34" s="7">
        <f>Inspecciones!A34</f>
        <v/>
      </c>
      <c r="B34" s="7">
        <f>Inspecciones!B34</f>
        <v/>
      </c>
      <c r="C34" s="7">
        <f>IFERROR(VLOOKUP(B34,Unidades!A:G,5,FALSE),"")</f>
        <v/>
      </c>
      <c r="D34" s="7">
        <f>IFERROR(VLOOKUP(B34,Unidades!A:G,6,FALSE),"")</f>
        <v/>
      </c>
      <c r="E34" s="7">
        <f>IFERROR(VLOOKUP(B34,Unidades!A:G,7,FALSE),"")</f>
        <v/>
      </c>
      <c r="F34" s="7">
        <f>IFERROR(VLOOKUP(B34,Unidades!A:G,2,FALSE),"")</f>
        <v/>
      </c>
      <c r="G34" s="7">
        <f>IFERROR(VLOOKUP(B34,Unidades!A:G,4,FALSE),"")</f>
        <v/>
      </c>
      <c r="H34" s="7">
        <f>Inspecciones!D34</f>
        <v/>
      </c>
      <c r="I34" s="7">
        <f>Inspecciones!E34</f>
        <v/>
      </c>
      <c r="J34" s="7">
        <f>Inspecciones!F34</f>
        <v/>
      </c>
      <c r="K34" s="7">
        <f>Inspecciones!G34</f>
        <v/>
      </c>
    </row>
    <row r="35">
      <c r="A35" s="8">
        <f>Inspecciones!A35</f>
        <v/>
      </c>
      <c r="B35" s="8">
        <f>Inspecciones!B35</f>
        <v/>
      </c>
      <c r="C35" s="8">
        <f>IFERROR(VLOOKUP(B35,Unidades!A:G,5,FALSE),"")</f>
        <v/>
      </c>
      <c r="D35" s="8">
        <f>IFERROR(VLOOKUP(B35,Unidades!A:G,6,FALSE),"")</f>
        <v/>
      </c>
      <c r="E35" s="8">
        <f>IFERROR(VLOOKUP(B35,Unidades!A:G,7,FALSE),"")</f>
        <v/>
      </c>
      <c r="F35" s="8">
        <f>IFERROR(VLOOKUP(B35,Unidades!A:G,2,FALSE),"")</f>
        <v/>
      </c>
      <c r="G35" s="8">
        <f>IFERROR(VLOOKUP(B35,Unidades!A:G,4,FALSE),"")</f>
        <v/>
      </c>
      <c r="H35" s="8">
        <f>Inspecciones!D35</f>
        <v/>
      </c>
      <c r="I35" s="8">
        <f>Inspecciones!E35</f>
        <v/>
      </c>
      <c r="J35" s="8">
        <f>Inspecciones!F35</f>
        <v/>
      </c>
      <c r="K35" s="8">
        <f>Inspecciones!G35</f>
        <v/>
      </c>
    </row>
    <row r="36">
      <c r="A36" s="7">
        <f>Inspecciones!A36</f>
        <v/>
      </c>
      <c r="B36" s="7">
        <f>Inspecciones!B36</f>
        <v/>
      </c>
      <c r="C36" s="7">
        <f>IFERROR(VLOOKUP(B36,Unidades!A:G,5,FALSE),"")</f>
        <v/>
      </c>
      <c r="D36" s="7">
        <f>IFERROR(VLOOKUP(B36,Unidades!A:G,6,FALSE),"")</f>
        <v/>
      </c>
      <c r="E36" s="7">
        <f>IFERROR(VLOOKUP(B36,Unidades!A:G,7,FALSE),"")</f>
        <v/>
      </c>
      <c r="F36" s="7">
        <f>IFERROR(VLOOKUP(B36,Unidades!A:G,2,FALSE),"")</f>
        <v/>
      </c>
      <c r="G36" s="7">
        <f>IFERROR(VLOOKUP(B36,Unidades!A:G,4,FALSE),"")</f>
        <v/>
      </c>
      <c r="H36" s="7">
        <f>Inspecciones!D36</f>
        <v/>
      </c>
      <c r="I36" s="7">
        <f>Inspecciones!E36</f>
        <v/>
      </c>
      <c r="J36" s="7">
        <f>Inspecciones!F36</f>
        <v/>
      </c>
      <c r="K36" s="7">
        <f>Inspecciones!G36</f>
        <v/>
      </c>
    </row>
    <row r="37">
      <c r="A37" s="8">
        <f>Inspecciones!A37</f>
        <v/>
      </c>
      <c r="B37" s="8">
        <f>Inspecciones!B37</f>
        <v/>
      </c>
      <c r="C37" s="8">
        <f>IFERROR(VLOOKUP(B37,Unidades!A:G,5,FALSE),"")</f>
        <v/>
      </c>
      <c r="D37" s="8">
        <f>IFERROR(VLOOKUP(B37,Unidades!A:G,6,FALSE),"")</f>
        <v/>
      </c>
      <c r="E37" s="8">
        <f>IFERROR(VLOOKUP(B37,Unidades!A:G,7,FALSE),"")</f>
        <v/>
      </c>
      <c r="F37" s="8">
        <f>IFERROR(VLOOKUP(B37,Unidades!A:G,2,FALSE),"")</f>
        <v/>
      </c>
      <c r="G37" s="8">
        <f>IFERROR(VLOOKUP(B37,Unidades!A:G,4,FALSE),"")</f>
        <v/>
      </c>
      <c r="H37" s="8">
        <f>Inspecciones!D37</f>
        <v/>
      </c>
      <c r="I37" s="8">
        <f>Inspecciones!E37</f>
        <v/>
      </c>
      <c r="J37" s="8">
        <f>Inspecciones!F37</f>
        <v/>
      </c>
      <c r="K37" s="8">
        <f>Inspecciones!G37</f>
        <v/>
      </c>
    </row>
    <row r="38">
      <c r="A38" s="7">
        <f>Inspecciones!A38</f>
        <v/>
      </c>
      <c r="B38" s="7">
        <f>Inspecciones!B38</f>
        <v/>
      </c>
      <c r="C38" s="7">
        <f>IFERROR(VLOOKUP(B38,Unidades!A:G,5,FALSE),"")</f>
        <v/>
      </c>
      <c r="D38" s="7">
        <f>IFERROR(VLOOKUP(B38,Unidades!A:G,6,FALSE),"")</f>
        <v/>
      </c>
      <c r="E38" s="7">
        <f>IFERROR(VLOOKUP(B38,Unidades!A:G,7,FALSE),"")</f>
        <v/>
      </c>
      <c r="F38" s="7">
        <f>IFERROR(VLOOKUP(B38,Unidades!A:G,2,FALSE),"")</f>
        <v/>
      </c>
      <c r="G38" s="7">
        <f>IFERROR(VLOOKUP(B38,Unidades!A:G,4,FALSE),"")</f>
        <v/>
      </c>
      <c r="H38" s="7">
        <f>Inspecciones!D38</f>
        <v/>
      </c>
      <c r="I38" s="7">
        <f>Inspecciones!E38</f>
        <v/>
      </c>
      <c r="J38" s="7">
        <f>Inspecciones!F38</f>
        <v/>
      </c>
      <c r="K38" s="7">
        <f>Inspecciones!G38</f>
        <v/>
      </c>
    </row>
    <row r="39">
      <c r="A39" s="8">
        <f>Inspecciones!A39</f>
        <v/>
      </c>
      <c r="B39" s="8">
        <f>Inspecciones!B39</f>
        <v/>
      </c>
      <c r="C39" s="8">
        <f>IFERROR(VLOOKUP(B39,Unidades!A:G,5,FALSE),"")</f>
        <v/>
      </c>
      <c r="D39" s="8">
        <f>IFERROR(VLOOKUP(B39,Unidades!A:G,6,FALSE),"")</f>
        <v/>
      </c>
      <c r="E39" s="8">
        <f>IFERROR(VLOOKUP(B39,Unidades!A:G,7,FALSE),"")</f>
        <v/>
      </c>
      <c r="F39" s="8">
        <f>IFERROR(VLOOKUP(B39,Unidades!A:G,2,FALSE),"")</f>
        <v/>
      </c>
      <c r="G39" s="8">
        <f>IFERROR(VLOOKUP(B39,Unidades!A:G,4,FALSE),"")</f>
        <v/>
      </c>
      <c r="H39" s="8">
        <f>Inspecciones!D39</f>
        <v/>
      </c>
      <c r="I39" s="8">
        <f>Inspecciones!E39</f>
        <v/>
      </c>
      <c r="J39" s="8">
        <f>Inspecciones!F39</f>
        <v/>
      </c>
      <c r="K39" s="8">
        <f>Inspecciones!G39</f>
        <v/>
      </c>
    </row>
    <row r="40">
      <c r="A40" s="7">
        <f>Inspecciones!A40</f>
        <v/>
      </c>
      <c r="B40" s="7">
        <f>Inspecciones!B40</f>
        <v/>
      </c>
      <c r="C40" s="7">
        <f>IFERROR(VLOOKUP(B40,Unidades!A:G,5,FALSE),"")</f>
        <v/>
      </c>
      <c r="D40" s="7">
        <f>IFERROR(VLOOKUP(B40,Unidades!A:G,6,FALSE),"")</f>
        <v/>
      </c>
      <c r="E40" s="7">
        <f>IFERROR(VLOOKUP(B40,Unidades!A:G,7,FALSE),"")</f>
        <v/>
      </c>
      <c r="F40" s="7">
        <f>IFERROR(VLOOKUP(B40,Unidades!A:G,2,FALSE),"")</f>
        <v/>
      </c>
      <c r="G40" s="7">
        <f>IFERROR(VLOOKUP(B40,Unidades!A:G,4,FALSE),"")</f>
        <v/>
      </c>
      <c r="H40" s="7">
        <f>Inspecciones!D40</f>
        <v/>
      </c>
      <c r="I40" s="7">
        <f>Inspecciones!E40</f>
        <v/>
      </c>
      <c r="J40" s="7">
        <f>Inspecciones!F40</f>
        <v/>
      </c>
      <c r="K40" s="7">
        <f>Inspecciones!G40</f>
        <v/>
      </c>
    </row>
    <row r="41">
      <c r="A41" s="8">
        <f>Inspecciones!A41</f>
        <v/>
      </c>
      <c r="B41" s="8">
        <f>Inspecciones!B41</f>
        <v/>
      </c>
      <c r="C41" s="8">
        <f>IFERROR(VLOOKUP(B41,Unidades!A:G,5,FALSE),"")</f>
        <v/>
      </c>
      <c r="D41" s="8">
        <f>IFERROR(VLOOKUP(B41,Unidades!A:G,6,FALSE),"")</f>
        <v/>
      </c>
      <c r="E41" s="8">
        <f>IFERROR(VLOOKUP(B41,Unidades!A:G,7,FALSE),"")</f>
        <v/>
      </c>
      <c r="F41" s="8">
        <f>IFERROR(VLOOKUP(B41,Unidades!A:G,2,FALSE),"")</f>
        <v/>
      </c>
      <c r="G41" s="8">
        <f>IFERROR(VLOOKUP(B41,Unidades!A:G,4,FALSE),"")</f>
        <v/>
      </c>
      <c r="H41" s="8">
        <f>Inspecciones!D41</f>
        <v/>
      </c>
      <c r="I41" s="8">
        <f>Inspecciones!E41</f>
        <v/>
      </c>
      <c r="J41" s="8">
        <f>Inspecciones!F41</f>
        <v/>
      </c>
      <c r="K41" s="8">
        <f>Inspecciones!G41</f>
        <v/>
      </c>
    </row>
    <row r="42">
      <c r="A42" s="7">
        <f>Inspecciones!A42</f>
        <v/>
      </c>
      <c r="B42" s="7">
        <f>Inspecciones!B42</f>
        <v/>
      </c>
      <c r="C42" s="7">
        <f>IFERROR(VLOOKUP(B42,Unidades!A:G,5,FALSE),"")</f>
        <v/>
      </c>
      <c r="D42" s="7">
        <f>IFERROR(VLOOKUP(B42,Unidades!A:G,6,FALSE),"")</f>
        <v/>
      </c>
      <c r="E42" s="7">
        <f>IFERROR(VLOOKUP(B42,Unidades!A:G,7,FALSE),"")</f>
        <v/>
      </c>
      <c r="F42" s="7">
        <f>IFERROR(VLOOKUP(B42,Unidades!A:G,2,FALSE),"")</f>
        <v/>
      </c>
      <c r="G42" s="7">
        <f>IFERROR(VLOOKUP(B42,Unidades!A:G,4,FALSE),"")</f>
        <v/>
      </c>
      <c r="H42" s="7">
        <f>Inspecciones!D42</f>
        <v/>
      </c>
      <c r="I42" s="7">
        <f>Inspecciones!E42</f>
        <v/>
      </c>
      <c r="J42" s="7">
        <f>Inspecciones!F42</f>
        <v/>
      </c>
      <c r="K42" s="7">
        <f>Inspecciones!G42</f>
        <v/>
      </c>
    </row>
    <row r="43">
      <c r="A43" s="8">
        <f>Inspecciones!A43</f>
        <v/>
      </c>
      <c r="B43" s="8">
        <f>Inspecciones!B43</f>
        <v/>
      </c>
      <c r="C43" s="8">
        <f>IFERROR(VLOOKUP(B43,Unidades!A:G,5,FALSE),"")</f>
        <v/>
      </c>
      <c r="D43" s="8">
        <f>IFERROR(VLOOKUP(B43,Unidades!A:G,6,FALSE),"")</f>
        <v/>
      </c>
      <c r="E43" s="8">
        <f>IFERROR(VLOOKUP(B43,Unidades!A:G,7,FALSE),"")</f>
        <v/>
      </c>
      <c r="F43" s="8">
        <f>IFERROR(VLOOKUP(B43,Unidades!A:G,2,FALSE),"")</f>
        <v/>
      </c>
      <c r="G43" s="8">
        <f>IFERROR(VLOOKUP(B43,Unidades!A:G,4,FALSE),"")</f>
        <v/>
      </c>
      <c r="H43" s="8">
        <f>Inspecciones!D43</f>
        <v/>
      </c>
      <c r="I43" s="8">
        <f>Inspecciones!E43</f>
        <v/>
      </c>
      <c r="J43" s="8">
        <f>Inspecciones!F43</f>
        <v/>
      </c>
      <c r="K43" s="8">
        <f>Inspecciones!G43</f>
        <v/>
      </c>
    </row>
    <row r="44">
      <c r="A44" s="7">
        <f>Inspecciones!A44</f>
        <v/>
      </c>
      <c r="B44" s="7">
        <f>Inspecciones!B44</f>
        <v/>
      </c>
      <c r="C44" s="7">
        <f>IFERROR(VLOOKUP(B44,Unidades!A:G,5,FALSE),"")</f>
        <v/>
      </c>
      <c r="D44" s="7">
        <f>IFERROR(VLOOKUP(B44,Unidades!A:G,6,FALSE),"")</f>
        <v/>
      </c>
      <c r="E44" s="7">
        <f>IFERROR(VLOOKUP(B44,Unidades!A:G,7,FALSE),"")</f>
        <v/>
      </c>
      <c r="F44" s="7">
        <f>IFERROR(VLOOKUP(B44,Unidades!A:G,2,FALSE),"")</f>
        <v/>
      </c>
      <c r="G44" s="7">
        <f>IFERROR(VLOOKUP(B44,Unidades!A:G,4,FALSE),"")</f>
        <v/>
      </c>
      <c r="H44" s="7">
        <f>Inspecciones!D44</f>
        <v/>
      </c>
      <c r="I44" s="7">
        <f>Inspecciones!E44</f>
        <v/>
      </c>
      <c r="J44" s="7">
        <f>Inspecciones!F44</f>
        <v/>
      </c>
      <c r="K44" s="7">
        <f>Inspecciones!G44</f>
        <v/>
      </c>
    </row>
    <row r="45">
      <c r="A45" s="8">
        <f>Inspecciones!A45</f>
        <v/>
      </c>
      <c r="B45" s="8">
        <f>Inspecciones!B45</f>
        <v/>
      </c>
      <c r="C45" s="8">
        <f>IFERROR(VLOOKUP(B45,Unidades!A:G,5,FALSE),"")</f>
        <v/>
      </c>
      <c r="D45" s="8">
        <f>IFERROR(VLOOKUP(B45,Unidades!A:G,6,FALSE),"")</f>
        <v/>
      </c>
      <c r="E45" s="8">
        <f>IFERROR(VLOOKUP(B45,Unidades!A:G,7,FALSE),"")</f>
        <v/>
      </c>
      <c r="F45" s="8">
        <f>IFERROR(VLOOKUP(B45,Unidades!A:G,2,FALSE),"")</f>
        <v/>
      </c>
      <c r="G45" s="8">
        <f>IFERROR(VLOOKUP(B45,Unidades!A:G,4,FALSE),"")</f>
        <v/>
      </c>
      <c r="H45" s="8">
        <f>Inspecciones!D45</f>
        <v/>
      </c>
      <c r="I45" s="8">
        <f>Inspecciones!E45</f>
        <v/>
      </c>
      <c r="J45" s="8">
        <f>Inspecciones!F45</f>
        <v/>
      </c>
      <c r="K45" s="8">
        <f>Inspecciones!G45</f>
        <v/>
      </c>
    </row>
    <row r="46">
      <c r="A46" s="7">
        <f>Inspecciones!A46</f>
        <v/>
      </c>
      <c r="B46" s="7">
        <f>Inspecciones!B46</f>
        <v/>
      </c>
      <c r="C46" s="7">
        <f>IFERROR(VLOOKUP(B46,Unidades!A:G,5,FALSE),"")</f>
        <v/>
      </c>
      <c r="D46" s="7">
        <f>IFERROR(VLOOKUP(B46,Unidades!A:G,6,FALSE),"")</f>
        <v/>
      </c>
      <c r="E46" s="7">
        <f>IFERROR(VLOOKUP(B46,Unidades!A:G,7,FALSE),"")</f>
        <v/>
      </c>
      <c r="F46" s="7">
        <f>IFERROR(VLOOKUP(B46,Unidades!A:G,2,FALSE),"")</f>
        <v/>
      </c>
      <c r="G46" s="7">
        <f>IFERROR(VLOOKUP(B46,Unidades!A:G,4,FALSE),"")</f>
        <v/>
      </c>
      <c r="H46" s="7">
        <f>Inspecciones!D46</f>
        <v/>
      </c>
      <c r="I46" s="7">
        <f>Inspecciones!E46</f>
        <v/>
      </c>
      <c r="J46" s="7">
        <f>Inspecciones!F46</f>
        <v/>
      </c>
      <c r="K46" s="7">
        <f>Inspecciones!G46</f>
        <v/>
      </c>
    </row>
    <row r="47">
      <c r="A47" s="8">
        <f>Inspecciones!A47</f>
        <v/>
      </c>
      <c r="B47" s="8">
        <f>Inspecciones!B47</f>
        <v/>
      </c>
      <c r="C47" s="8">
        <f>IFERROR(VLOOKUP(B47,Unidades!A:G,5,FALSE),"")</f>
        <v/>
      </c>
      <c r="D47" s="8">
        <f>IFERROR(VLOOKUP(B47,Unidades!A:G,6,FALSE),"")</f>
        <v/>
      </c>
      <c r="E47" s="8">
        <f>IFERROR(VLOOKUP(B47,Unidades!A:G,7,FALSE),"")</f>
        <v/>
      </c>
      <c r="F47" s="8">
        <f>IFERROR(VLOOKUP(B47,Unidades!A:G,2,FALSE),"")</f>
        <v/>
      </c>
      <c r="G47" s="8">
        <f>IFERROR(VLOOKUP(B47,Unidades!A:G,4,FALSE),"")</f>
        <v/>
      </c>
      <c r="H47" s="8">
        <f>Inspecciones!D47</f>
        <v/>
      </c>
      <c r="I47" s="8">
        <f>Inspecciones!E47</f>
        <v/>
      </c>
      <c r="J47" s="8">
        <f>Inspecciones!F47</f>
        <v/>
      </c>
      <c r="K47" s="8">
        <f>Inspecciones!G47</f>
        <v/>
      </c>
    </row>
    <row r="48">
      <c r="A48" s="7">
        <f>Inspecciones!A48</f>
        <v/>
      </c>
      <c r="B48" s="7">
        <f>Inspecciones!B48</f>
        <v/>
      </c>
      <c r="C48" s="7">
        <f>IFERROR(VLOOKUP(B48,Unidades!A:G,5,FALSE),"")</f>
        <v/>
      </c>
      <c r="D48" s="7">
        <f>IFERROR(VLOOKUP(B48,Unidades!A:G,6,FALSE),"")</f>
        <v/>
      </c>
      <c r="E48" s="7">
        <f>IFERROR(VLOOKUP(B48,Unidades!A:G,7,FALSE),"")</f>
        <v/>
      </c>
      <c r="F48" s="7">
        <f>IFERROR(VLOOKUP(B48,Unidades!A:G,2,FALSE),"")</f>
        <v/>
      </c>
      <c r="G48" s="7">
        <f>IFERROR(VLOOKUP(B48,Unidades!A:G,4,FALSE),"")</f>
        <v/>
      </c>
      <c r="H48" s="7">
        <f>Inspecciones!D48</f>
        <v/>
      </c>
      <c r="I48" s="7">
        <f>Inspecciones!E48</f>
        <v/>
      </c>
      <c r="J48" s="7">
        <f>Inspecciones!F48</f>
        <v/>
      </c>
      <c r="K48" s="7">
        <f>Inspecciones!G48</f>
        <v/>
      </c>
    </row>
    <row r="49">
      <c r="A49" s="8">
        <f>Inspecciones!A49</f>
        <v/>
      </c>
      <c r="B49" s="8">
        <f>Inspecciones!B49</f>
        <v/>
      </c>
      <c r="C49" s="8">
        <f>IFERROR(VLOOKUP(B49,Unidades!A:G,5,FALSE),"")</f>
        <v/>
      </c>
      <c r="D49" s="8">
        <f>IFERROR(VLOOKUP(B49,Unidades!A:G,6,FALSE),"")</f>
        <v/>
      </c>
      <c r="E49" s="8">
        <f>IFERROR(VLOOKUP(B49,Unidades!A:G,7,FALSE),"")</f>
        <v/>
      </c>
      <c r="F49" s="8">
        <f>IFERROR(VLOOKUP(B49,Unidades!A:G,2,FALSE),"")</f>
        <v/>
      </c>
      <c r="G49" s="8">
        <f>IFERROR(VLOOKUP(B49,Unidades!A:G,4,FALSE),"")</f>
        <v/>
      </c>
      <c r="H49" s="8">
        <f>Inspecciones!D49</f>
        <v/>
      </c>
      <c r="I49" s="8">
        <f>Inspecciones!E49</f>
        <v/>
      </c>
      <c r="J49" s="8">
        <f>Inspecciones!F49</f>
        <v/>
      </c>
      <c r="K49" s="8">
        <f>Inspecciones!G49</f>
        <v/>
      </c>
    </row>
    <row r="50">
      <c r="A50" s="7">
        <f>Inspecciones!A50</f>
        <v/>
      </c>
      <c r="B50" s="7">
        <f>Inspecciones!B50</f>
        <v/>
      </c>
      <c r="C50" s="7">
        <f>IFERROR(VLOOKUP(B50,Unidades!A:G,5,FALSE),"")</f>
        <v/>
      </c>
      <c r="D50" s="7">
        <f>IFERROR(VLOOKUP(B50,Unidades!A:G,6,FALSE),"")</f>
        <v/>
      </c>
      <c r="E50" s="7">
        <f>IFERROR(VLOOKUP(B50,Unidades!A:G,7,FALSE),"")</f>
        <v/>
      </c>
      <c r="F50" s="7">
        <f>IFERROR(VLOOKUP(B50,Unidades!A:G,2,FALSE),"")</f>
        <v/>
      </c>
      <c r="G50" s="7">
        <f>IFERROR(VLOOKUP(B50,Unidades!A:G,4,FALSE),"")</f>
        <v/>
      </c>
      <c r="H50" s="7">
        <f>Inspecciones!D50</f>
        <v/>
      </c>
      <c r="I50" s="7">
        <f>Inspecciones!E50</f>
        <v/>
      </c>
      <c r="J50" s="7">
        <f>Inspecciones!F50</f>
        <v/>
      </c>
      <c r="K50" s="7">
        <f>Inspecciones!G50</f>
        <v/>
      </c>
    </row>
    <row r="51">
      <c r="A51" s="8">
        <f>Inspecciones!A51</f>
        <v/>
      </c>
      <c r="B51" s="8">
        <f>Inspecciones!B51</f>
        <v/>
      </c>
      <c r="C51" s="8">
        <f>IFERROR(VLOOKUP(B51,Unidades!A:G,5,FALSE),"")</f>
        <v/>
      </c>
      <c r="D51" s="8">
        <f>IFERROR(VLOOKUP(B51,Unidades!A:G,6,FALSE),"")</f>
        <v/>
      </c>
      <c r="E51" s="8">
        <f>IFERROR(VLOOKUP(B51,Unidades!A:G,7,FALSE),"")</f>
        <v/>
      </c>
      <c r="F51" s="8">
        <f>IFERROR(VLOOKUP(B51,Unidades!A:G,2,FALSE),"")</f>
        <v/>
      </c>
      <c r="G51" s="8">
        <f>IFERROR(VLOOKUP(B51,Unidades!A:G,4,FALSE),"")</f>
        <v/>
      </c>
      <c r="H51" s="8">
        <f>Inspecciones!D51</f>
        <v/>
      </c>
      <c r="I51" s="8">
        <f>Inspecciones!E51</f>
        <v/>
      </c>
      <c r="J51" s="8">
        <f>Inspecciones!F51</f>
        <v/>
      </c>
      <c r="K51" s="8">
        <f>Inspecciones!G51</f>
        <v/>
      </c>
    </row>
    <row r="52">
      <c r="A52" s="7">
        <f>Inspecciones!A52</f>
        <v/>
      </c>
      <c r="B52" s="7">
        <f>Inspecciones!B52</f>
        <v/>
      </c>
      <c r="C52" s="7">
        <f>IFERROR(VLOOKUP(B52,Unidades!A:G,5,FALSE),"")</f>
        <v/>
      </c>
      <c r="D52" s="7">
        <f>IFERROR(VLOOKUP(B52,Unidades!A:G,6,FALSE),"")</f>
        <v/>
      </c>
      <c r="E52" s="7">
        <f>IFERROR(VLOOKUP(B52,Unidades!A:G,7,FALSE),"")</f>
        <v/>
      </c>
      <c r="F52" s="7">
        <f>IFERROR(VLOOKUP(B52,Unidades!A:G,2,FALSE),"")</f>
        <v/>
      </c>
      <c r="G52" s="7">
        <f>IFERROR(VLOOKUP(B52,Unidades!A:G,4,FALSE),"")</f>
        <v/>
      </c>
      <c r="H52" s="7">
        <f>Inspecciones!D52</f>
        <v/>
      </c>
      <c r="I52" s="7">
        <f>Inspecciones!E52</f>
        <v/>
      </c>
      <c r="J52" s="7">
        <f>Inspecciones!F52</f>
        <v/>
      </c>
      <c r="K52" s="7">
        <f>Inspecciones!G52</f>
        <v/>
      </c>
    </row>
    <row r="53">
      <c r="A53" s="8">
        <f>Inspecciones!A53</f>
        <v/>
      </c>
      <c r="B53" s="8">
        <f>Inspecciones!B53</f>
        <v/>
      </c>
      <c r="C53" s="8">
        <f>IFERROR(VLOOKUP(B53,Unidades!A:G,5,FALSE),"")</f>
        <v/>
      </c>
      <c r="D53" s="8">
        <f>IFERROR(VLOOKUP(B53,Unidades!A:G,6,FALSE),"")</f>
        <v/>
      </c>
      <c r="E53" s="8">
        <f>IFERROR(VLOOKUP(B53,Unidades!A:G,7,FALSE),"")</f>
        <v/>
      </c>
      <c r="F53" s="8">
        <f>IFERROR(VLOOKUP(B53,Unidades!A:G,2,FALSE),"")</f>
        <v/>
      </c>
      <c r="G53" s="8">
        <f>IFERROR(VLOOKUP(B53,Unidades!A:G,4,FALSE),"")</f>
        <v/>
      </c>
      <c r="H53" s="8">
        <f>Inspecciones!D53</f>
        <v/>
      </c>
      <c r="I53" s="8">
        <f>Inspecciones!E53</f>
        <v/>
      </c>
      <c r="J53" s="8">
        <f>Inspecciones!F53</f>
        <v/>
      </c>
      <c r="K53" s="8">
        <f>Inspecciones!G53</f>
        <v/>
      </c>
    </row>
    <row r="54">
      <c r="A54" s="7">
        <f>Inspecciones!A54</f>
        <v/>
      </c>
      <c r="B54" s="7">
        <f>Inspecciones!B54</f>
        <v/>
      </c>
      <c r="C54" s="7">
        <f>IFERROR(VLOOKUP(B54,Unidades!A:G,5,FALSE),"")</f>
        <v/>
      </c>
      <c r="D54" s="7">
        <f>IFERROR(VLOOKUP(B54,Unidades!A:G,6,FALSE),"")</f>
        <v/>
      </c>
      <c r="E54" s="7">
        <f>IFERROR(VLOOKUP(B54,Unidades!A:G,7,FALSE),"")</f>
        <v/>
      </c>
      <c r="F54" s="7">
        <f>IFERROR(VLOOKUP(B54,Unidades!A:G,2,FALSE),"")</f>
        <v/>
      </c>
      <c r="G54" s="7">
        <f>IFERROR(VLOOKUP(B54,Unidades!A:G,4,FALSE),"")</f>
        <v/>
      </c>
      <c r="H54" s="7">
        <f>Inspecciones!D54</f>
        <v/>
      </c>
      <c r="I54" s="7">
        <f>Inspecciones!E54</f>
        <v/>
      </c>
      <c r="J54" s="7">
        <f>Inspecciones!F54</f>
        <v/>
      </c>
      <c r="K54" s="7">
        <f>Inspecciones!G54</f>
        <v/>
      </c>
    </row>
    <row r="55">
      <c r="A55" s="8">
        <f>Inspecciones!A55</f>
        <v/>
      </c>
      <c r="B55" s="8">
        <f>Inspecciones!B55</f>
        <v/>
      </c>
      <c r="C55" s="8">
        <f>IFERROR(VLOOKUP(B55,Unidades!A:G,5,FALSE),"")</f>
        <v/>
      </c>
      <c r="D55" s="8">
        <f>IFERROR(VLOOKUP(B55,Unidades!A:G,6,FALSE),"")</f>
        <v/>
      </c>
      <c r="E55" s="8">
        <f>IFERROR(VLOOKUP(B55,Unidades!A:G,7,FALSE),"")</f>
        <v/>
      </c>
      <c r="F55" s="8">
        <f>IFERROR(VLOOKUP(B55,Unidades!A:G,2,FALSE),"")</f>
        <v/>
      </c>
      <c r="G55" s="8">
        <f>IFERROR(VLOOKUP(B55,Unidades!A:G,4,FALSE),"")</f>
        <v/>
      </c>
      <c r="H55" s="8">
        <f>Inspecciones!D55</f>
        <v/>
      </c>
      <c r="I55" s="8">
        <f>Inspecciones!E55</f>
        <v/>
      </c>
      <c r="J55" s="8">
        <f>Inspecciones!F55</f>
        <v/>
      </c>
      <c r="K55" s="8">
        <f>Inspecciones!G55</f>
        <v/>
      </c>
    </row>
    <row r="56">
      <c r="A56" s="7">
        <f>Inspecciones!A56</f>
        <v/>
      </c>
      <c r="B56" s="7">
        <f>Inspecciones!B56</f>
        <v/>
      </c>
      <c r="C56" s="7">
        <f>IFERROR(VLOOKUP(B56,Unidades!A:G,5,FALSE),"")</f>
        <v/>
      </c>
      <c r="D56" s="7">
        <f>IFERROR(VLOOKUP(B56,Unidades!A:G,6,FALSE),"")</f>
        <v/>
      </c>
      <c r="E56" s="7">
        <f>IFERROR(VLOOKUP(B56,Unidades!A:G,7,FALSE),"")</f>
        <v/>
      </c>
      <c r="F56" s="7">
        <f>IFERROR(VLOOKUP(B56,Unidades!A:G,2,FALSE),"")</f>
        <v/>
      </c>
      <c r="G56" s="7">
        <f>IFERROR(VLOOKUP(B56,Unidades!A:G,4,FALSE),"")</f>
        <v/>
      </c>
      <c r="H56" s="7">
        <f>Inspecciones!D56</f>
        <v/>
      </c>
      <c r="I56" s="7">
        <f>Inspecciones!E56</f>
        <v/>
      </c>
      <c r="J56" s="7">
        <f>Inspecciones!F56</f>
        <v/>
      </c>
      <c r="K56" s="7">
        <f>Inspecciones!G56</f>
        <v/>
      </c>
    </row>
    <row r="57">
      <c r="A57" s="8">
        <f>Inspecciones!A57</f>
        <v/>
      </c>
      <c r="B57" s="8">
        <f>Inspecciones!B57</f>
        <v/>
      </c>
      <c r="C57" s="8">
        <f>IFERROR(VLOOKUP(B57,Unidades!A:G,5,FALSE),"")</f>
        <v/>
      </c>
      <c r="D57" s="8">
        <f>IFERROR(VLOOKUP(B57,Unidades!A:G,6,FALSE),"")</f>
        <v/>
      </c>
      <c r="E57" s="8">
        <f>IFERROR(VLOOKUP(B57,Unidades!A:G,7,FALSE),"")</f>
        <v/>
      </c>
      <c r="F57" s="8">
        <f>IFERROR(VLOOKUP(B57,Unidades!A:G,2,FALSE),"")</f>
        <v/>
      </c>
      <c r="G57" s="8">
        <f>IFERROR(VLOOKUP(B57,Unidades!A:G,4,FALSE),"")</f>
        <v/>
      </c>
      <c r="H57" s="8">
        <f>Inspecciones!D57</f>
        <v/>
      </c>
      <c r="I57" s="8">
        <f>Inspecciones!E57</f>
        <v/>
      </c>
      <c r="J57" s="8">
        <f>Inspecciones!F57</f>
        <v/>
      </c>
      <c r="K57" s="8">
        <f>Inspecciones!G57</f>
        <v/>
      </c>
    </row>
    <row r="58">
      <c r="A58" s="7">
        <f>Inspecciones!A58</f>
        <v/>
      </c>
      <c r="B58" s="7">
        <f>Inspecciones!B58</f>
        <v/>
      </c>
      <c r="C58" s="7">
        <f>IFERROR(VLOOKUP(B58,Unidades!A:G,5,FALSE),"")</f>
        <v/>
      </c>
      <c r="D58" s="7">
        <f>IFERROR(VLOOKUP(B58,Unidades!A:G,6,FALSE),"")</f>
        <v/>
      </c>
      <c r="E58" s="7">
        <f>IFERROR(VLOOKUP(B58,Unidades!A:G,7,FALSE),"")</f>
        <v/>
      </c>
      <c r="F58" s="7">
        <f>IFERROR(VLOOKUP(B58,Unidades!A:G,2,FALSE),"")</f>
        <v/>
      </c>
      <c r="G58" s="7">
        <f>IFERROR(VLOOKUP(B58,Unidades!A:G,4,FALSE),"")</f>
        <v/>
      </c>
      <c r="H58" s="7">
        <f>Inspecciones!D58</f>
        <v/>
      </c>
      <c r="I58" s="7">
        <f>Inspecciones!E58</f>
        <v/>
      </c>
      <c r="J58" s="7">
        <f>Inspecciones!F58</f>
        <v/>
      </c>
      <c r="K58" s="7">
        <f>Inspecciones!G58</f>
        <v/>
      </c>
    </row>
    <row r="59">
      <c r="A59" s="8">
        <f>Inspecciones!A59</f>
        <v/>
      </c>
      <c r="B59" s="8">
        <f>Inspecciones!B59</f>
        <v/>
      </c>
      <c r="C59" s="8">
        <f>IFERROR(VLOOKUP(B59,Unidades!A:G,5,FALSE),"")</f>
        <v/>
      </c>
      <c r="D59" s="8">
        <f>IFERROR(VLOOKUP(B59,Unidades!A:G,6,FALSE),"")</f>
        <v/>
      </c>
      <c r="E59" s="8">
        <f>IFERROR(VLOOKUP(B59,Unidades!A:G,7,FALSE),"")</f>
        <v/>
      </c>
      <c r="F59" s="8">
        <f>IFERROR(VLOOKUP(B59,Unidades!A:G,2,FALSE),"")</f>
        <v/>
      </c>
      <c r="G59" s="8">
        <f>IFERROR(VLOOKUP(B59,Unidades!A:G,4,FALSE),"")</f>
        <v/>
      </c>
      <c r="H59" s="8">
        <f>Inspecciones!D59</f>
        <v/>
      </c>
      <c r="I59" s="8">
        <f>Inspecciones!E59</f>
        <v/>
      </c>
      <c r="J59" s="8">
        <f>Inspecciones!F59</f>
        <v/>
      </c>
      <c r="K59" s="8">
        <f>Inspecciones!G59</f>
        <v/>
      </c>
    </row>
    <row r="60">
      <c r="A60" s="7">
        <f>Inspecciones!A60</f>
        <v/>
      </c>
      <c r="B60" s="7">
        <f>Inspecciones!B60</f>
        <v/>
      </c>
      <c r="C60" s="7">
        <f>IFERROR(VLOOKUP(B60,Unidades!A:G,5,FALSE),"")</f>
        <v/>
      </c>
      <c r="D60" s="7">
        <f>IFERROR(VLOOKUP(B60,Unidades!A:G,6,FALSE),"")</f>
        <v/>
      </c>
      <c r="E60" s="7">
        <f>IFERROR(VLOOKUP(B60,Unidades!A:G,7,FALSE),"")</f>
        <v/>
      </c>
      <c r="F60" s="7">
        <f>IFERROR(VLOOKUP(B60,Unidades!A:G,2,FALSE),"")</f>
        <v/>
      </c>
      <c r="G60" s="7">
        <f>IFERROR(VLOOKUP(B60,Unidades!A:G,4,FALSE),"")</f>
        <v/>
      </c>
      <c r="H60" s="7">
        <f>Inspecciones!D60</f>
        <v/>
      </c>
      <c r="I60" s="7">
        <f>Inspecciones!E60</f>
        <v/>
      </c>
      <c r="J60" s="7">
        <f>Inspecciones!F60</f>
        <v/>
      </c>
      <c r="K60" s="7">
        <f>Inspecciones!G60</f>
        <v/>
      </c>
    </row>
    <row r="61">
      <c r="A61" s="8">
        <f>Inspecciones!A61</f>
        <v/>
      </c>
      <c r="B61" s="8">
        <f>Inspecciones!B61</f>
        <v/>
      </c>
      <c r="C61" s="8">
        <f>IFERROR(VLOOKUP(B61,Unidades!A:G,5,FALSE),"")</f>
        <v/>
      </c>
      <c r="D61" s="8">
        <f>IFERROR(VLOOKUP(B61,Unidades!A:G,6,FALSE),"")</f>
        <v/>
      </c>
      <c r="E61" s="8">
        <f>IFERROR(VLOOKUP(B61,Unidades!A:G,7,FALSE),"")</f>
        <v/>
      </c>
      <c r="F61" s="8">
        <f>IFERROR(VLOOKUP(B61,Unidades!A:G,2,FALSE),"")</f>
        <v/>
      </c>
      <c r="G61" s="8">
        <f>IFERROR(VLOOKUP(B61,Unidades!A:G,4,FALSE),"")</f>
        <v/>
      </c>
      <c r="H61" s="8">
        <f>Inspecciones!D61</f>
        <v/>
      </c>
      <c r="I61" s="8">
        <f>Inspecciones!E61</f>
        <v/>
      </c>
      <c r="J61" s="8">
        <f>Inspecciones!F61</f>
        <v/>
      </c>
      <c r="K61" s="8">
        <f>Inspecciones!G61</f>
        <v/>
      </c>
    </row>
    <row r="62">
      <c r="A62" s="7">
        <f>Inspecciones!A62</f>
        <v/>
      </c>
      <c r="B62" s="7">
        <f>Inspecciones!B62</f>
        <v/>
      </c>
      <c r="C62" s="7">
        <f>IFERROR(VLOOKUP(B62,Unidades!A:G,5,FALSE),"")</f>
        <v/>
      </c>
      <c r="D62" s="7">
        <f>IFERROR(VLOOKUP(B62,Unidades!A:G,6,FALSE),"")</f>
        <v/>
      </c>
      <c r="E62" s="7">
        <f>IFERROR(VLOOKUP(B62,Unidades!A:G,7,FALSE),"")</f>
        <v/>
      </c>
      <c r="F62" s="7">
        <f>IFERROR(VLOOKUP(B62,Unidades!A:G,2,FALSE),"")</f>
        <v/>
      </c>
      <c r="G62" s="7">
        <f>IFERROR(VLOOKUP(B62,Unidades!A:G,4,FALSE),"")</f>
        <v/>
      </c>
      <c r="H62" s="7">
        <f>Inspecciones!D62</f>
        <v/>
      </c>
      <c r="I62" s="7">
        <f>Inspecciones!E62</f>
        <v/>
      </c>
      <c r="J62" s="7">
        <f>Inspecciones!F62</f>
        <v/>
      </c>
      <c r="K62" s="7">
        <f>Inspecciones!G62</f>
        <v/>
      </c>
    </row>
    <row r="63">
      <c r="A63" s="8">
        <f>Inspecciones!A63</f>
        <v/>
      </c>
      <c r="B63" s="8">
        <f>Inspecciones!B63</f>
        <v/>
      </c>
      <c r="C63" s="8">
        <f>IFERROR(VLOOKUP(B63,Unidades!A:G,5,FALSE),"")</f>
        <v/>
      </c>
      <c r="D63" s="8">
        <f>IFERROR(VLOOKUP(B63,Unidades!A:G,6,FALSE),"")</f>
        <v/>
      </c>
      <c r="E63" s="8">
        <f>IFERROR(VLOOKUP(B63,Unidades!A:G,7,FALSE),"")</f>
        <v/>
      </c>
      <c r="F63" s="8">
        <f>IFERROR(VLOOKUP(B63,Unidades!A:G,2,FALSE),"")</f>
        <v/>
      </c>
      <c r="G63" s="8">
        <f>IFERROR(VLOOKUP(B63,Unidades!A:G,4,FALSE),"")</f>
        <v/>
      </c>
      <c r="H63" s="8">
        <f>Inspecciones!D63</f>
        <v/>
      </c>
      <c r="I63" s="8">
        <f>Inspecciones!E63</f>
        <v/>
      </c>
      <c r="J63" s="8">
        <f>Inspecciones!F63</f>
        <v/>
      </c>
      <c r="K63" s="8">
        <f>Inspecciones!G63</f>
        <v/>
      </c>
    </row>
    <row r="64">
      <c r="A64" s="7">
        <f>Inspecciones!A64</f>
        <v/>
      </c>
      <c r="B64" s="7">
        <f>Inspecciones!B64</f>
        <v/>
      </c>
      <c r="C64" s="7">
        <f>IFERROR(VLOOKUP(B64,Unidades!A:G,5,FALSE),"")</f>
        <v/>
      </c>
      <c r="D64" s="7">
        <f>IFERROR(VLOOKUP(B64,Unidades!A:G,6,FALSE),"")</f>
        <v/>
      </c>
      <c r="E64" s="7">
        <f>IFERROR(VLOOKUP(B64,Unidades!A:G,7,FALSE),"")</f>
        <v/>
      </c>
      <c r="F64" s="7">
        <f>IFERROR(VLOOKUP(B64,Unidades!A:G,2,FALSE),"")</f>
        <v/>
      </c>
      <c r="G64" s="7">
        <f>IFERROR(VLOOKUP(B64,Unidades!A:G,4,FALSE),"")</f>
        <v/>
      </c>
      <c r="H64" s="7">
        <f>Inspecciones!D64</f>
        <v/>
      </c>
      <c r="I64" s="7">
        <f>Inspecciones!E64</f>
        <v/>
      </c>
      <c r="J64" s="7">
        <f>Inspecciones!F64</f>
        <v/>
      </c>
      <c r="K64" s="7">
        <f>Inspecciones!G64</f>
        <v/>
      </c>
    </row>
    <row r="65">
      <c r="A65" s="8">
        <f>Inspecciones!A65</f>
        <v/>
      </c>
      <c r="B65" s="8">
        <f>Inspecciones!B65</f>
        <v/>
      </c>
      <c r="C65" s="8">
        <f>IFERROR(VLOOKUP(B65,Unidades!A:G,5,FALSE),"")</f>
        <v/>
      </c>
      <c r="D65" s="8">
        <f>IFERROR(VLOOKUP(B65,Unidades!A:G,6,FALSE),"")</f>
        <v/>
      </c>
      <c r="E65" s="8">
        <f>IFERROR(VLOOKUP(B65,Unidades!A:G,7,FALSE),"")</f>
        <v/>
      </c>
      <c r="F65" s="8">
        <f>IFERROR(VLOOKUP(B65,Unidades!A:G,2,FALSE),"")</f>
        <v/>
      </c>
      <c r="G65" s="8">
        <f>IFERROR(VLOOKUP(B65,Unidades!A:G,4,FALSE),"")</f>
        <v/>
      </c>
      <c r="H65" s="8">
        <f>Inspecciones!D65</f>
        <v/>
      </c>
      <c r="I65" s="8">
        <f>Inspecciones!E65</f>
        <v/>
      </c>
      <c r="J65" s="8">
        <f>Inspecciones!F65</f>
        <v/>
      </c>
      <c r="K65" s="8">
        <f>Inspecciones!G65</f>
        <v/>
      </c>
    </row>
    <row r="66">
      <c r="A66" s="7">
        <f>Inspecciones!A66</f>
        <v/>
      </c>
      <c r="B66" s="7">
        <f>Inspecciones!B66</f>
        <v/>
      </c>
      <c r="C66" s="7">
        <f>IFERROR(VLOOKUP(B66,Unidades!A:G,5,FALSE),"")</f>
        <v/>
      </c>
      <c r="D66" s="7">
        <f>IFERROR(VLOOKUP(B66,Unidades!A:G,6,FALSE),"")</f>
        <v/>
      </c>
      <c r="E66" s="7">
        <f>IFERROR(VLOOKUP(B66,Unidades!A:G,7,FALSE),"")</f>
        <v/>
      </c>
      <c r="F66" s="7">
        <f>IFERROR(VLOOKUP(B66,Unidades!A:G,2,FALSE),"")</f>
        <v/>
      </c>
      <c r="G66" s="7">
        <f>IFERROR(VLOOKUP(B66,Unidades!A:G,4,FALSE),"")</f>
        <v/>
      </c>
      <c r="H66" s="7">
        <f>Inspecciones!D66</f>
        <v/>
      </c>
      <c r="I66" s="7">
        <f>Inspecciones!E66</f>
        <v/>
      </c>
      <c r="J66" s="7">
        <f>Inspecciones!F66</f>
        <v/>
      </c>
      <c r="K66" s="7">
        <f>Inspecciones!G66</f>
        <v/>
      </c>
    </row>
    <row r="67">
      <c r="A67" s="8">
        <f>Inspecciones!A67</f>
        <v/>
      </c>
      <c r="B67" s="8">
        <f>Inspecciones!B67</f>
        <v/>
      </c>
      <c r="C67" s="8">
        <f>IFERROR(VLOOKUP(B67,Unidades!A:G,5,FALSE),"")</f>
        <v/>
      </c>
      <c r="D67" s="8">
        <f>IFERROR(VLOOKUP(B67,Unidades!A:G,6,FALSE),"")</f>
        <v/>
      </c>
      <c r="E67" s="8">
        <f>IFERROR(VLOOKUP(B67,Unidades!A:G,7,FALSE),"")</f>
        <v/>
      </c>
      <c r="F67" s="8">
        <f>IFERROR(VLOOKUP(B67,Unidades!A:G,2,FALSE),"")</f>
        <v/>
      </c>
      <c r="G67" s="8">
        <f>IFERROR(VLOOKUP(B67,Unidades!A:G,4,FALSE),"")</f>
        <v/>
      </c>
      <c r="H67" s="8">
        <f>Inspecciones!D67</f>
        <v/>
      </c>
      <c r="I67" s="8">
        <f>Inspecciones!E67</f>
        <v/>
      </c>
      <c r="J67" s="8">
        <f>Inspecciones!F67</f>
        <v/>
      </c>
      <c r="K67" s="8">
        <f>Inspecciones!G67</f>
        <v/>
      </c>
    </row>
    <row r="68">
      <c r="A68" s="7">
        <f>Inspecciones!A68</f>
        <v/>
      </c>
      <c r="B68" s="7">
        <f>Inspecciones!B68</f>
        <v/>
      </c>
      <c r="C68" s="7">
        <f>IFERROR(VLOOKUP(B68,Unidades!A:G,5,FALSE),"")</f>
        <v/>
      </c>
      <c r="D68" s="7">
        <f>IFERROR(VLOOKUP(B68,Unidades!A:G,6,FALSE),"")</f>
        <v/>
      </c>
      <c r="E68" s="7">
        <f>IFERROR(VLOOKUP(B68,Unidades!A:G,7,FALSE),"")</f>
        <v/>
      </c>
      <c r="F68" s="7">
        <f>IFERROR(VLOOKUP(B68,Unidades!A:G,2,FALSE),"")</f>
        <v/>
      </c>
      <c r="G68" s="7">
        <f>IFERROR(VLOOKUP(B68,Unidades!A:G,4,FALSE),"")</f>
        <v/>
      </c>
      <c r="H68" s="7">
        <f>Inspecciones!D68</f>
        <v/>
      </c>
      <c r="I68" s="7">
        <f>Inspecciones!E68</f>
        <v/>
      </c>
      <c r="J68" s="7">
        <f>Inspecciones!F68</f>
        <v/>
      </c>
      <c r="K68" s="7">
        <f>Inspecciones!G68</f>
        <v/>
      </c>
    </row>
    <row r="69">
      <c r="A69" s="8">
        <f>Inspecciones!A69</f>
        <v/>
      </c>
      <c r="B69" s="8">
        <f>Inspecciones!B69</f>
        <v/>
      </c>
      <c r="C69" s="8">
        <f>IFERROR(VLOOKUP(B69,Unidades!A:G,5,FALSE),"")</f>
        <v/>
      </c>
      <c r="D69" s="8">
        <f>IFERROR(VLOOKUP(B69,Unidades!A:G,6,FALSE),"")</f>
        <v/>
      </c>
      <c r="E69" s="8">
        <f>IFERROR(VLOOKUP(B69,Unidades!A:G,7,FALSE),"")</f>
        <v/>
      </c>
      <c r="F69" s="8">
        <f>IFERROR(VLOOKUP(B69,Unidades!A:G,2,FALSE),"")</f>
        <v/>
      </c>
      <c r="G69" s="8">
        <f>IFERROR(VLOOKUP(B69,Unidades!A:G,4,FALSE),"")</f>
        <v/>
      </c>
      <c r="H69" s="8">
        <f>Inspecciones!D69</f>
        <v/>
      </c>
      <c r="I69" s="8">
        <f>Inspecciones!E69</f>
        <v/>
      </c>
      <c r="J69" s="8">
        <f>Inspecciones!F69</f>
        <v/>
      </c>
      <c r="K69" s="8">
        <f>Inspecciones!G69</f>
        <v/>
      </c>
    </row>
    <row r="70">
      <c r="A70" s="7">
        <f>Inspecciones!A70</f>
        <v/>
      </c>
      <c r="B70" s="7">
        <f>Inspecciones!B70</f>
        <v/>
      </c>
      <c r="C70" s="7">
        <f>IFERROR(VLOOKUP(B70,Unidades!A:G,5,FALSE),"")</f>
        <v/>
      </c>
      <c r="D70" s="7">
        <f>IFERROR(VLOOKUP(B70,Unidades!A:G,6,FALSE),"")</f>
        <v/>
      </c>
      <c r="E70" s="7">
        <f>IFERROR(VLOOKUP(B70,Unidades!A:G,7,FALSE),"")</f>
        <v/>
      </c>
      <c r="F70" s="7">
        <f>IFERROR(VLOOKUP(B70,Unidades!A:G,2,FALSE),"")</f>
        <v/>
      </c>
      <c r="G70" s="7">
        <f>IFERROR(VLOOKUP(B70,Unidades!A:G,4,FALSE),"")</f>
        <v/>
      </c>
      <c r="H70" s="7">
        <f>Inspecciones!D70</f>
        <v/>
      </c>
      <c r="I70" s="7">
        <f>Inspecciones!E70</f>
        <v/>
      </c>
      <c r="J70" s="7">
        <f>Inspecciones!F70</f>
        <v/>
      </c>
      <c r="K70" s="7">
        <f>Inspecciones!G70</f>
        <v/>
      </c>
    </row>
    <row r="71">
      <c r="A71" s="8">
        <f>Inspecciones!A71</f>
        <v/>
      </c>
      <c r="B71" s="8">
        <f>Inspecciones!B71</f>
        <v/>
      </c>
      <c r="C71" s="8">
        <f>IFERROR(VLOOKUP(B71,Unidades!A:G,5,FALSE),"")</f>
        <v/>
      </c>
      <c r="D71" s="8">
        <f>IFERROR(VLOOKUP(B71,Unidades!A:G,6,FALSE),"")</f>
        <v/>
      </c>
      <c r="E71" s="8">
        <f>IFERROR(VLOOKUP(B71,Unidades!A:G,7,FALSE),"")</f>
        <v/>
      </c>
      <c r="F71" s="8">
        <f>IFERROR(VLOOKUP(B71,Unidades!A:G,2,FALSE),"")</f>
        <v/>
      </c>
      <c r="G71" s="8">
        <f>IFERROR(VLOOKUP(B71,Unidades!A:G,4,FALSE),"")</f>
        <v/>
      </c>
      <c r="H71" s="8">
        <f>Inspecciones!D71</f>
        <v/>
      </c>
      <c r="I71" s="8">
        <f>Inspecciones!E71</f>
        <v/>
      </c>
      <c r="J71" s="8">
        <f>Inspecciones!F71</f>
        <v/>
      </c>
      <c r="K71" s="8">
        <f>Inspecciones!G71</f>
        <v/>
      </c>
    </row>
    <row r="72">
      <c r="A72" s="7">
        <f>Inspecciones!A72</f>
        <v/>
      </c>
      <c r="B72" s="7">
        <f>Inspecciones!B72</f>
        <v/>
      </c>
      <c r="C72" s="7">
        <f>IFERROR(VLOOKUP(B72,Unidades!A:G,5,FALSE),"")</f>
        <v/>
      </c>
      <c r="D72" s="7">
        <f>IFERROR(VLOOKUP(B72,Unidades!A:G,6,FALSE),"")</f>
        <v/>
      </c>
      <c r="E72" s="7">
        <f>IFERROR(VLOOKUP(B72,Unidades!A:G,7,FALSE),"")</f>
        <v/>
      </c>
      <c r="F72" s="7">
        <f>IFERROR(VLOOKUP(B72,Unidades!A:G,2,FALSE),"")</f>
        <v/>
      </c>
      <c r="G72" s="7">
        <f>IFERROR(VLOOKUP(B72,Unidades!A:G,4,FALSE),"")</f>
        <v/>
      </c>
      <c r="H72" s="7">
        <f>Inspecciones!D72</f>
        <v/>
      </c>
      <c r="I72" s="7">
        <f>Inspecciones!E72</f>
        <v/>
      </c>
      <c r="J72" s="7">
        <f>Inspecciones!F72</f>
        <v/>
      </c>
      <c r="K72" s="7">
        <f>Inspecciones!G72</f>
        <v/>
      </c>
    </row>
    <row r="73">
      <c r="A73" s="8">
        <f>Inspecciones!A73</f>
        <v/>
      </c>
      <c r="B73" s="8">
        <f>Inspecciones!B73</f>
        <v/>
      </c>
      <c r="C73" s="8">
        <f>IFERROR(VLOOKUP(B73,Unidades!A:G,5,FALSE),"")</f>
        <v/>
      </c>
      <c r="D73" s="8">
        <f>IFERROR(VLOOKUP(B73,Unidades!A:G,6,FALSE),"")</f>
        <v/>
      </c>
      <c r="E73" s="8">
        <f>IFERROR(VLOOKUP(B73,Unidades!A:G,7,FALSE),"")</f>
        <v/>
      </c>
      <c r="F73" s="8">
        <f>IFERROR(VLOOKUP(B73,Unidades!A:G,2,FALSE),"")</f>
        <v/>
      </c>
      <c r="G73" s="8">
        <f>IFERROR(VLOOKUP(B73,Unidades!A:G,4,FALSE),"")</f>
        <v/>
      </c>
      <c r="H73" s="8">
        <f>Inspecciones!D73</f>
        <v/>
      </c>
      <c r="I73" s="8">
        <f>Inspecciones!E73</f>
        <v/>
      </c>
      <c r="J73" s="8">
        <f>Inspecciones!F73</f>
        <v/>
      </c>
      <c r="K73" s="8">
        <f>Inspecciones!G73</f>
        <v/>
      </c>
    </row>
    <row r="74">
      <c r="A74" s="7">
        <f>Inspecciones!A74</f>
        <v/>
      </c>
      <c r="B74" s="7">
        <f>Inspecciones!B74</f>
        <v/>
      </c>
      <c r="C74" s="7">
        <f>IFERROR(VLOOKUP(B74,Unidades!A:G,5,FALSE),"")</f>
        <v/>
      </c>
      <c r="D74" s="7">
        <f>IFERROR(VLOOKUP(B74,Unidades!A:G,6,FALSE),"")</f>
        <v/>
      </c>
      <c r="E74" s="7">
        <f>IFERROR(VLOOKUP(B74,Unidades!A:G,7,FALSE),"")</f>
        <v/>
      </c>
      <c r="F74" s="7">
        <f>IFERROR(VLOOKUP(B74,Unidades!A:G,2,FALSE),"")</f>
        <v/>
      </c>
      <c r="G74" s="7">
        <f>IFERROR(VLOOKUP(B74,Unidades!A:G,4,FALSE),"")</f>
        <v/>
      </c>
      <c r="H74" s="7">
        <f>Inspecciones!D74</f>
        <v/>
      </c>
      <c r="I74" s="7">
        <f>Inspecciones!E74</f>
        <v/>
      </c>
      <c r="J74" s="7">
        <f>Inspecciones!F74</f>
        <v/>
      </c>
      <c r="K74" s="7">
        <f>Inspecciones!G74</f>
        <v/>
      </c>
    </row>
    <row r="75">
      <c r="A75" s="8">
        <f>Inspecciones!A75</f>
        <v/>
      </c>
      <c r="B75" s="8">
        <f>Inspecciones!B75</f>
        <v/>
      </c>
      <c r="C75" s="8">
        <f>IFERROR(VLOOKUP(B75,Unidades!A:G,5,FALSE),"")</f>
        <v/>
      </c>
      <c r="D75" s="8">
        <f>IFERROR(VLOOKUP(B75,Unidades!A:G,6,FALSE),"")</f>
        <v/>
      </c>
      <c r="E75" s="8">
        <f>IFERROR(VLOOKUP(B75,Unidades!A:G,7,FALSE),"")</f>
        <v/>
      </c>
      <c r="F75" s="8">
        <f>IFERROR(VLOOKUP(B75,Unidades!A:G,2,FALSE),"")</f>
        <v/>
      </c>
      <c r="G75" s="8">
        <f>IFERROR(VLOOKUP(B75,Unidades!A:G,4,FALSE),"")</f>
        <v/>
      </c>
      <c r="H75" s="8">
        <f>Inspecciones!D75</f>
        <v/>
      </c>
      <c r="I75" s="8">
        <f>Inspecciones!E75</f>
        <v/>
      </c>
      <c r="J75" s="8">
        <f>Inspecciones!F75</f>
        <v/>
      </c>
      <c r="K75" s="8">
        <f>Inspecciones!G75</f>
        <v/>
      </c>
    </row>
    <row r="76">
      <c r="A76" s="7">
        <f>Inspecciones!A76</f>
        <v/>
      </c>
      <c r="B76" s="7">
        <f>Inspecciones!B76</f>
        <v/>
      </c>
      <c r="C76" s="7">
        <f>IFERROR(VLOOKUP(B76,Unidades!A:G,5,FALSE),"")</f>
        <v/>
      </c>
      <c r="D76" s="7">
        <f>IFERROR(VLOOKUP(B76,Unidades!A:G,6,FALSE),"")</f>
        <v/>
      </c>
      <c r="E76" s="7">
        <f>IFERROR(VLOOKUP(B76,Unidades!A:G,7,FALSE),"")</f>
        <v/>
      </c>
      <c r="F76" s="7">
        <f>IFERROR(VLOOKUP(B76,Unidades!A:G,2,FALSE),"")</f>
        <v/>
      </c>
      <c r="G76" s="7">
        <f>IFERROR(VLOOKUP(B76,Unidades!A:G,4,FALSE),"")</f>
        <v/>
      </c>
      <c r="H76" s="7">
        <f>Inspecciones!D76</f>
        <v/>
      </c>
      <c r="I76" s="7">
        <f>Inspecciones!E76</f>
        <v/>
      </c>
      <c r="J76" s="7">
        <f>Inspecciones!F76</f>
        <v/>
      </c>
      <c r="K76" s="7">
        <f>Inspecciones!G76</f>
        <v/>
      </c>
    </row>
    <row r="77">
      <c r="A77" s="8">
        <f>Inspecciones!A77</f>
        <v/>
      </c>
      <c r="B77" s="8">
        <f>Inspecciones!B77</f>
        <v/>
      </c>
      <c r="C77" s="8">
        <f>IFERROR(VLOOKUP(B77,Unidades!A:G,5,FALSE),"")</f>
        <v/>
      </c>
      <c r="D77" s="8">
        <f>IFERROR(VLOOKUP(B77,Unidades!A:G,6,FALSE),"")</f>
        <v/>
      </c>
      <c r="E77" s="8">
        <f>IFERROR(VLOOKUP(B77,Unidades!A:G,7,FALSE),"")</f>
        <v/>
      </c>
      <c r="F77" s="8">
        <f>IFERROR(VLOOKUP(B77,Unidades!A:G,2,FALSE),"")</f>
        <v/>
      </c>
      <c r="G77" s="8">
        <f>IFERROR(VLOOKUP(B77,Unidades!A:G,4,FALSE),"")</f>
        <v/>
      </c>
      <c r="H77" s="8">
        <f>Inspecciones!D77</f>
        <v/>
      </c>
      <c r="I77" s="8">
        <f>Inspecciones!E77</f>
        <v/>
      </c>
      <c r="J77" s="8">
        <f>Inspecciones!F77</f>
        <v/>
      </c>
      <c r="K77" s="8">
        <f>Inspecciones!G77</f>
        <v/>
      </c>
    </row>
    <row r="78">
      <c r="A78" s="7">
        <f>Inspecciones!A78</f>
        <v/>
      </c>
      <c r="B78" s="7">
        <f>Inspecciones!B78</f>
        <v/>
      </c>
      <c r="C78" s="7">
        <f>IFERROR(VLOOKUP(B78,Unidades!A:G,5,FALSE),"")</f>
        <v/>
      </c>
      <c r="D78" s="7">
        <f>IFERROR(VLOOKUP(B78,Unidades!A:G,6,FALSE),"")</f>
        <v/>
      </c>
      <c r="E78" s="7">
        <f>IFERROR(VLOOKUP(B78,Unidades!A:G,7,FALSE),"")</f>
        <v/>
      </c>
      <c r="F78" s="7">
        <f>IFERROR(VLOOKUP(B78,Unidades!A:G,2,FALSE),"")</f>
        <v/>
      </c>
      <c r="G78" s="7">
        <f>IFERROR(VLOOKUP(B78,Unidades!A:G,4,FALSE),"")</f>
        <v/>
      </c>
      <c r="H78" s="7">
        <f>Inspecciones!D78</f>
        <v/>
      </c>
      <c r="I78" s="7">
        <f>Inspecciones!E78</f>
        <v/>
      </c>
      <c r="J78" s="7">
        <f>Inspecciones!F78</f>
        <v/>
      </c>
      <c r="K78" s="7">
        <f>Inspecciones!G78</f>
        <v/>
      </c>
    </row>
    <row r="79">
      <c r="A79" s="8">
        <f>Inspecciones!A79</f>
        <v/>
      </c>
      <c r="B79" s="8">
        <f>Inspecciones!B79</f>
        <v/>
      </c>
      <c r="C79" s="8">
        <f>IFERROR(VLOOKUP(B79,Unidades!A:G,5,FALSE),"")</f>
        <v/>
      </c>
      <c r="D79" s="8">
        <f>IFERROR(VLOOKUP(B79,Unidades!A:G,6,FALSE),"")</f>
        <v/>
      </c>
      <c r="E79" s="8">
        <f>IFERROR(VLOOKUP(B79,Unidades!A:G,7,FALSE),"")</f>
        <v/>
      </c>
      <c r="F79" s="8">
        <f>IFERROR(VLOOKUP(B79,Unidades!A:G,2,FALSE),"")</f>
        <v/>
      </c>
      <c r="G79" s="8">
        <f>IFERROR(VLOOKUP(B79,Unidades!A:G,4,FALSE),"")</f>
        <v/>
      </c>
      <c r="H79" s="8">
        <f>Inspecciones!D79</f>
        <v/>
      </c>
      <c r="I79" s="8">
        <f>Inspecciones!E79</f>
        <v/>
      </c>
      <c r="J79" s="8">
        <f>Inspecciones!F79</f>
        <v/>
      </c>
      <c r="K79" s="8">
        <f>Inspecciones!G79</f>
        <v/>
      </c>
    </row>
    <row r="80">
      <c r="A80" s="7">
        <f>Inspecciones!A80</f>
        <v/>
      </c>
      <c r="B80" s="7">
        <f>Inspecciones!B80</f>
        <v/>
      </c>
      <c r="C80" s="7">
        <f>IFERROR(VLOOKUP(B80,Unidades!A:G,5,FALSE),"")</f>
        <v/>
      </c>
      <c r="D80" s="7">
        <f>IFERROR(VLOOKUP(B80,Unidades!A:G,6,FALSE),"")</f>
        <v/>
      </c>
      <c r="E80" s="7">
        <f>IFERROR(VLOOKUP(B80,Unidades!A:G,7,FALSE),"")</f>
        <v/>
      </c>
      <c r="F80" s="7">
        <f>IFERROR(VLOOKUP(B80,Unidades!A:G,2,FALSE),"")</f>
        <v/>
      </c>
      <c r="G80" s="7">
        <f>IFERROR(VLOOKUP(B80,Unidades!A:G,4,FALSE),"")</f>
        <v/>
      </c>
      <c r="H80" s="7">
        <f>Inspecciones!D80</f>
        <v/>
      </c>
      <c r="I80" s="7">
        <f>Inspecciones!E80</f>
        <v/>
      </c>
      <c r="J80" s="7">
        <f>Inspecciones!F80</f>
        <v/>
      </c>
      <c r="K80" s="7">
        <f>Inspecciones!G80</f>
        <v/>
      </c>
    </row>
    <row r="81">
      <c r="A81" s="8">
        <f>Inspecciones!A81</f>
        <v/>
      </c>
      <c r="B81" s="8">
        <f>Inspecciones!B81</f>
        <v/>
      </c>
      <c r="C81" s="8">
        <f>IFERROR(VLOOKUP(B81,Unidades!A:G,5,FALSE),"")</f>
        <v/>
      </c>
      <c r="D81" s="8">
        <f>IFERROR(VLOOKUP(B81,Unidades!A:G,6,FALSE),"")</f>
        <v/>
      </c>
      <c r="E81" s="8">
        <f>IFERROR(VLOOKUP(B81,Unidades!A:G,7,FALSE),"")</f>
        <v/>
      </c>
      <c r="F81" s="8">
        <f>IFERROR(VLOOKUP(B81,Unidades!A:G,2,FALSE),"")</f>
        <v/>
      </c>
      <c r="G81" s="8">
        <f>IFERROR(VLOOKUP(B81,Unidades!A:G,4,FALSE),"")</f>
        <v/>
      </c>
      <c r="H81" s="8">
        <f>Inspecciones!D81</f>
        <v/>
      </c>
      <c r="I81" s="8">
        <f>Inspecciones!E81</f>
        <v/>
      </c>
      <c r="J81" s="8">
        <f>Inspecciones!F81</f>
        <v/>
      </c>
      <c r="K81" s="8">
        <f>Inspecciones!G81</f>
        <v/>
      </c>
    </row>
    <row r="82">
      <c r="A82" s="7">
        <f>Inspecciones!A82</f>
        <v/>
      </c>
      <c r="B82" s="7">
        <f>Inspecciones!B82</f>
        <v/>
      </c>
      <c r="C82" s="7">
        <f>IFERROR(VLOOKUP(B82,Unidades!A:G,5,FALSE),"")</f>
        <v/>
      </c>
      <c r="D82" s="7">
        <f>IFERROR(VLOOKUP(B82,Unidades!A:G,6,FALSE),"")</f>
        <v/>
      </c>
      <c r="E82" s="7">
        <f>IFERROR(VLOOKUP(B82,Unidades!A:G,7,FALSE),"")</f>
        <v/>
      </c>
      <c r="F82" s="7">
        <f>IFERROR(VLOOKUP(B82,Unidades!A:G,2,FALSE),"")</f>
        <v/>
      </c>
      <c r="G82" s="7">
        <f>IFERROR(VLOOKUP(B82,Unidades!A:G,4,FALSE),"")</f>
        <v/>
      </c>
      <c r="H82" s="7">
        <f>Inspecciones!D82</f>
        <v/>
      </c>
      <c r="I82" s="7">
        <f>Inspecciones!E82</f>
        <v/>
      </c>
      <c r="J82" s="7">
        <f>Inspecciones!F82</f>
        <v/>
      </c>
      <c r="K82" s="7">
        <f>Inspecciones!G82</f>
        <v/>
      </c>
    </row>
    <row r="83">
      <c r="A83" s="8">
        <f>Inspecciones!A83</f>
        <v/>
      </c>
      <c r="B83" s="8">
        <f>Inspecciones!B83</f>
        <v/>
      </c>
      <c r="C83" s="8">
        <f>IFERROR(VLOOKUP(B83,Unidades!A:G,5,FALSE),"")</f>
        <v/>
      </c>
      <c r="D83" s="8">
        <f>IFERROR(VLOOKUP(B83,Unidades!A:G,6,FALSE),"")</f>
        <v/>
      </c>
      <c r="E83" s="8">
        <f>IFERROR(VLOOKUP(B83,Unidades!A:G,7,FALSE),"")</f>
        <v/>
      </c>
      <c r="F83" s="8">
        <f>IFERROR(VLOOKUP(B83,Unidades!A:G,2,FALSE),"")</f>
        <v/>
      </c>
      <c r="G83" s="8">
        <f>IFERROR(VLOOKUP(B83,Unidades!A:G,4,FALSE),"")</f>
        <v/>
      </c>
      <c r="H83" s="8">
        <f>Inspecciones!D83</f>
        <v/>
      </c>
      <c r="I83" s="8">
        <f>Inspecciones!E83</f>
        <v/>
      </c>
      <c r="J83" s="8">
        <f>Inspecciones!F83</f>
        <v/>
      </c>
      <c r="K83" s="8">
        <f>Inspecciones!G83</f>
        <v/>
      </c>
    </row>
    <row r="84">
      <c r="A84" s="7">
        <f>Inspecciones!A84</f>
        <v/>
      </c>
      <c r="B84" s="7">
        <f>Inspecciones!B84</f>
        <v/>
      </c>
      <c r="C84" s="7">
        <f>IFERROR(VLOOKUP(B84,Unidades!A:G,5,FALSE),"")</f>
        <v/>
      </c>
      <c r="D84" s="7">
        <f>IFERROR(VLOOKUP(B84,Unidades!A:G,6,FALSE),"")</f>
        <v/>
      </c>
      <c r="E84" s="7">
        <f>IFERROR(VLOOKUP(B84,Unidades!A:G,7,FALSE),"")</f>
        <v/>
      </c>
      <c r="F84" s="7">
        <f>IFERROR(VLOOKUP(B84,Unidades!A:G,2,FALSE),"")</f>
        <v/>
      </c>
      <c r="G84" s="7">
        <f>IFERROR(VLOOKUP(B84,Unidades!A:G,4,FALSE),"")</f>
        <v/>
      </c>
      <c r="H84" s="7">
        <f>Inspecciones!D84</f>
        <v/>
      </c>
      <c r="I84" s="7">
        <f>Inspecciones!E84</f>
        <v/>
      </c>
      <c r="J84" s="7">
        <f>Inspecciones!F84</f>
        <v/>
      </c>
      <c r="K84" s="7">
        <f>Inspecciones!G84</f>
        <v/>
      </c>
    </row>
    <row r="85">
      <c r="A85" s="8">
        <f>Inspecciones!A85</f>
        <v/>
      </c>
      <c r="B85" s="8">
        <f>Inspecciones!B85</f>
        <v/>
      </c>
      <c r="C85" s="8">
        <f>IFERROR(VLOOKUP(B85,Unidades!A:G,5,FALSE),"")</f>
        <v/>
      </c>
      <c r="D85" s="8">
        <f>IFERROR(VLOOKUP(B85,Unidades!A:G,6,FALSE),"")</f>
        <v/>
      </c>
      <c r="E85" s="8">
        <f>IFERROR(VLOOKUP(B85,Unidades!A:G,7,FALSE),"")</f>
        <v/>
      </c>
      <c r="F85" s="8">
        <f>IFERROR(VLOOKUP(B85,Unidades!A:G,2,FALSE),"")</f>
        <v/>
      </c>
      <c r="G85" s="8">
        <f>IFERROR(VLOOKUP(B85,Unidades!A:G,4,FALSE),"")</f>
        <v/>
      </c>
      <c r="H85" s="8">
        <f>Inspecciones!D85</f>
        <v/>
      </c>
      <c r="I85" s="8">
        <f>Inspecciones!E85</f>
        <v/>
      </c>
      <c r="J85" s="8">
        <f>Inspecciones!F85</f>
        <v/>
      </c>
      <c r="K85" s="8">
        <f>Inspecciones!G85</f>
        <v/>
      </c>
    </row>
    <row r="86">
      <c r="A86" s="7">
        <f>Inspecciones!A86</f>
        <v/>
      </c>
      <c r="B86" s="7">
        <f>Inspecciones!B86</f>
        <v/>
      </c>
      <c r="C86" s="7">
        <f>IFERROR(VLOOKUP(B86,Unidades!A:G,5,FALSE),"")</f>
        <v/>
      </c>
      <c r="D86" s="7">
        <f>IFERROR(VLOOKUP(B86,Unidades!A:G,6,FALSE),"")</f>
        <v/>
      </c>
      <c r="E86" s="7">
        <f>IFERROR(VLOOKUP(B86,Unidades!A:G,7,FALSE),"")</f>
        <v/>
      </c>
      <c r="F86" s="7">
        <f>IFERROR(VLOOKUP(B86,Unidades!A:G,2,FALSE),"")</f>
        <v/>
      </c>
      <c r="G86" s="7">
        <f>IFERROR(VLOOKUP(B86,Unidades!A:G,4,FALSE),"")</f>
        <v/>
      </c>
      <c r="H86" s="7">
        <f>Inspecciones!D86</f>
        <v/>
      </c>
      <c r="I86" s="7">
        <f>Inspecciones!E86</f>
        <v/>
      </c>
      <c r="J86" s="7">
        <f>Inspecciones!F86</f>
        <v/>
      </c>
      <c r="K86" s="7">
        <f>Inspecciones!G86</f>
        <v/>
      </c>
    </row>
    <row r="87">
      <c r="A87" s="8">
        <f>Inspecciones!A87</f>
        <v/>
      </c>
      <c r="B87" s="8">
        <f>Inspecciones!B87</f>
        <v/>
      </c>
      <c r="C87" s="8">
        <f>IFERROR(VLOOKUP(B87,Unidades!A:G,5,FALSE),"")</f>
        <v/>
      </c>
      <c r="D87" s="8">
        <f>IFERROR(VLOOKUP(B87,Unidades!A:G,6,FALSE),"")</f>
        <v/>
      </c>
      <c r="E87" s="8">
        <f>IFERROR(VLOOKUP(B87,Unidades!A:G,7,FALSE),"")</f>
        <v/>
      </c>
      <c r="F87" s="8">
        <f>IFERROR(VLOOKUP(B87,Unidades!A:G,2,FALSE),"")</f>
        <v/>
      </c>
      <c r="G87" s="8">
        <f>IFERROR(VLOOKUP(B87,Unidades!A:G,4,FALSE),"")</f>
        <v/>
      </c>
      <c r="H87" s="8">
        <f>Inspecciones!D87</f>
        <v/>
      </c>
      <c r="I87" s="8">
        <f>Inspecciones!E87</f>
        <v/>
      </c>
      <c r="J87" s="8">
        <f>Inspecciones!F87</f>
        <v/>
      </c>
      <c r="K87" s="8">
        <f>Inspecciones!G87</f>
        <v/>
      </c>
    </row>
    <row r="88">
      <c r="A88" s="7">
        <f>Inspecciones!A88</f>
        <v/>
      </c>
      <c r="B88" s="7">
        <f>Inspecciones!B88</f>
        <v/>
      </c>
      <c r="C88" s="7">
        <f>IFERROR(VLOOKUP(B88,Unidades!A:G,5,FALSE),"")</f>
        <v/>
      </c>
      <c r="D88" s="7">
        <f>IFERROR(VLOOKUP(B88,Unidades!A:G,6,FALSE),"")</f>
        <v/>
      </c>
      <c r="E88" s="7">
        <f>IFERROR(VLOOKUP(B88,Unidades!A:G,7,FALSE),"")</f>
        <v/>
      </c>
      <c r="F88" s="7">
        <f>IFERROR(VLOOKUP(B88,Unidades!A:G,2,FALSE),"")</f>
        <v/>
      </c>
      <c r="G88" s="7">
        <f>IFERROR(VLOOKUP(B88,Unidades!A:G,4,FALSE),"")</f>
        <v/>
      </c>
      <c r="H88" s="7">
        <f>Inspecciones!D88</f>
        <v/>
      </c>
      <c r="I88" s="7">
        <f>Inspecciones!E88</f>
        <v/>
      </c>
      <c r="J88" s="7">
        <f>Inspecciones!F88</f>
        <v/>
      </c>
      <c r="K88" s="7">
        <f>Inspecciones!G88</f>
        <v/>
      </c>
    </row>
    <row r="89">
      <c r="A89" s="8">
        <f>Inspecciones!A89</f>
        <v/>
      </c>
      <c r="B89" s="8">
        <f>Inspecciones!B89</f>
        <v/>
      </c>
      <c r="C89" s="8">
        <f>IFERROR(VLOOKUP(B89,Unidades!A:G,5,FALSE),"")</f>
        <v/>
      </c>
      <c r="D89" s="8">
        <f>IFERROR(VLOOKUP(B89,Unidades!A:G,6,FALSE),"")</f>
        <v/>
      </c>
      <c r="E89" s="8">
        <f>IFERROR(VLOOKUP(B89,Unidades!A:G,7,FALSE),"")</f>
        <v/>
      </c>
      <c r="F89" s="8">
        <f>IFERROR(VLOOKUP(B89,Unidades!A:G,2,FALSE),"")</f>
        <v/>
      </c>
      <c r="G89" s="8">
        <f>IFERROR(VLOOKUP(B89,Unidades!A:G,4,FALSE),"")</f>
        <v/>
      </c>
      <c r="H89" s="8">
        <f>Inspecciones!D89</f>
        <v/>
      </c>
      <c r="I89" s="8">
        <f>Inspecciones!E89</f>
        <v/>
      </c>
      <c r="J89" s="8">
        <f>Inspecciones!F89</f>
        <v/>
      </c>
      <c r="K89" s="8">
        <f>Inspecciones!G89</f>
        <v/>
      </c>
    </row>
    <row r="90">
      <c r="A90" s="7">
        <f>Inspecciones!A90</f>
        <v/>
      </c>
      <c r="B90" s="7">
        <f>Inspecciones!B90</f>
        <v/>
      </c>
      <c r="C90" s="7">
        <f>IFERROR(VLOOKUP(B90,Unidades!A:G,5,FALSE),"")</f>
        <v/>
      </c>
      <c r="D90" s="7">
        <f>IFERROR(VLOOKUP(B90,Unidades!A:G,6,FALSE),"")</f>
        <v/>
      </c>
      <c r="E90" s="7">
        <f>IFERROR(VLOOKUP(B90,Unidades!A:G,7,FALSE),"")</f>
        <v/>
      </c>
      <c r="F90" s="7">
        <f>IFERROR(VLOOKUP(B90,Unidades!A:G,2,FALSE),"")</f>
        <v/>
      </c>
      <c r="G90" s="7">
        <f>IFERROR(VLOOKUP(B90,Unidades!A:G,4,FALSE),"")</f>
        <v/>
      </c>
      <c r="H90" s="7">
        <f>Inspecciones!D90</f>
        <v/>
      </c>
      <c r="I90" s="7">
        <f>Inspecciones!E90</f>
        <v/>
      </c>
      <c r="J90" s="7">
        <f>Inspecciones!F90</f>
        <v/>
      </c>
      <c r="K90" s="7">
        <f>Inspecciones!G90</f>
        <v/>
      </c>
    </row>
    <row r="91">
      <c r="A91" s="8">
        <f>Inspecciones!A91</f>
        <v/>
      </c>
      <c r="B91" s="8">
        <f>Inspecciones!B91</f>
        <v/>
      </c>
      <c r="C91" s="8">
        <f>IFERROR(VLOOKUP(B91,Unidades!A:G,5,FALSE),"")</f>
        <v/>
      </c>
      <c r="D91" s="8">
        <f>IFERROR(VLOOKUP(B91,Unidades!A:G,6,FALSE),"")</f>
        <v/>
      </c>
      <c r="E91" s="8">
        <f>IFERROR(VLOOKUP(B91,Unidades!A:G,7,FALSE),"")</f>
        <v/>
      </c>
      <c r="F91" s="8">
        <f>IFERROR(VLOOKUP(B91,Unidades!A:G,2,FALSE),"")</f>
        <v/>
      </c>
      <c r="G91" s="8">
        <f>IFERROR(VLOOKUP(B91,Unidades!A:G,4,FALSE),"")</f>
        <v/>
      </c>
      <c r="H91" s="8">
        <f>Inspecciones!D91</f>
        <v/>
      </c>
      <c r="I91" s="8">
        <f>Inspecciones!E91</f>
        <v/>
      </c>
      <c r="J91" s="8">
        <f>Inspecciones!F91</f>
        <v/>
      </c>
      <c r="K91" s="8">
        <f>Inspecciones!G91</f>
        <v/>
      </c>
    </row>
    <row r="92">
      <c r="A92" s="7">
        <f>Inspecciones!A92</f>
        <v/>
      </c>
      <c r="B92" s="7">
        <f>Inspecciones!B92</f>
        <v/>
      </c>
      <c r="C92" s="7">
        <f>IFERROR(VLOOKUP(B92,Unidades!A:G,5,FALSE),"")</f>
        <v/>
      </c>
      <c r="D92" s="7">
        <f>IFERROR(VLOOKUP(B92,Unidades!A:G,6,FALSE),"")</f>
        <v/>
      </c>
      <c r="E92" s="7">
        <f>IFERROR(VLOOKUP(B92,Unidades!A:G,7,FALSE),"")</f>
        <v/>
      </c>
      <c r="F92" s="7">
        <f>IFERROR(VLOOKUP(B92,Unidades!A:G,2,FALSE),"")</f>
        <v/>
      </c>
      <c r="G92" s="7">
        <f>IFERROR(VLOOKUP(B92,Unidades!A:G,4,FALSE),"")</f>
        <v/>
      </c>
      <c r="H92" s="7">
        <f>Inspecciones!D92</f>
        <v/>
      </c>
      <c r="I92" s="7">
        <f>Inspecciones!E92</f>
        <v/>
      </c>
      <c r="J92" s="7">
        <f>Inspecciones!F92</f>
        <v/>
      </c>
      <c r="K92" s="7">
        <f>Inspecciones!G92</f>
        <v/>
      </c>
    </row>
    <row r="93">
      <c r="A93" s="8">
        <f>Inspecciones!A93</f>
        <v/>
      </c>
      <c r="B93" s="8">
        <f>Inspecciones!B93</f>
        <v/>
      </c>
      <c r="C93" s="8">
        <f>IFERROR(VLOOKUP(B93,Unidades!A:G,5,FALSE),"")</f>
        <v/>
      </c>
      <c r="D93" s="8">
        <f>IFERROR(VLOOKUP(B93,Unidades!A:G,6,FALSE),"")</f>
        <v/>
      </c>
      <c r="E93" s="8">
        <f>IFERROR(VLOOKUP(B93,Unidades!A:G,7,FALSE),"")</f>
        <v/>
      </c>
      <c r="F93" s="8">
        <f>IFERROR(VLOOKUP(B93,Unidades!A:G,2,FALSE),"")</f>
        <v/>
      </c>
      <c r="G93" s="8">
        <f>IFERROR(VLOOKUP(B93,Unidades!A:G,4,FALSE),"")</f>
        <v/>
      </c>
      <c r="H93" s="8">
        <f>Inspecciones!D93</f>
        <v/>
      </c>
      <c r="I93" s="8">
        <f>Inspecciones!E93</f>
        <v/>
      </c>
      <c r="J93" s="8">
        <f>Inspecciones!F93</f>
        <v/>
      </c>
      <c r="K93" s="8">
        <f>Inspecciones!G93</f>
        <v/>
      </c>
    </row>
    <row r="94">
      <c r="A94" s="7">
        <f>Inspecciones!A94</f>
        <v/>
      </c>
      <c r="B94" s="7">
        <f>Inspecciones!B94</f>
        <v/>
      </c>
      <c r="C94" s="7">
        <f>IFERROR(VLOOKUP(B94,Unidades!A:G,5,FALSE),"")</f>
        <v/>
      </c>
      <c r="D94" s="7">
        <f>IFERROR(VLOOKUP(B94,Unidades!A:G,6,FALSE),"")</f>
        <v/>
      </c>
      <c r="E94" s="7">
        <f>IFERROR(VLOOKUP(B94,Unidades!A:G,7,FALSE),"")</f>
        <v/>
      </c>
      <c r="F94" s="7">
        <f>IFERROR(VLOOKUP(B94,Unidades!A:G,2,FALSE),"")</f>
        <v/>
      </c>
      <c r="G94" s="7">
        <f>IFERROR(VLOOKUP(B94,Unidades!A:G,4,FALSE),"")</f>
        <v/>
      </c>
      <c r="H94" s="7">
        <f>Inspecciones!D94</f>
        <v/>
      </c>
      <c r="I94" s="7">
        <f>Inspecciones!E94</f>
        <v/>
      </c>
      <c r="J94" s="7">
        <f>Inspecciones!F94</f>
        <v/>
      </c>
      <c r="K94" s="7">
        <f>Inspecciones!G94</f>
        <v/>
      </c>
    </row>
    <row r="95">
      <c r="A95" s="8">
        <f>Inspecciones!A95</f>
        <v/>
      </c>
      <c r="B95" s="8">
        <f>Inspecciones!B95</f>
        <v/>
      </c>
      <c r="C95" s="8">
        <f>IFERROR(VLOOKUP(B95,Unidades!A:G,5,FALSE),"")</f>
        <v/>
      </c>
      <c r="D95" s="8">
        <f>IFERROR(VLOOKUP(B95,Unidades!A:G,6,FALSE),"")</f>
        <v/>
      </c>
      <c r="E95" s="8">
        <f>IFERROR(VLOOKUP(B95,Unidades!A:G,7,FALSE),"")</f>
        <v/>
      </c>
      <c r="F95" s="8">
        <f>IFERROR(VLOOKUP(B95,Unidades!A:G,2,FALSE),"")</f>
        <v/>
      </c>
      <c r="G95" s="8">
        <f>IFERROR(VLOOKUP(B95,Unidades!A:G,4,FALSE),"")</f>
        <v/>
      </c>
      <c r="H95" s="8">
        <f>Inspecciones!D95</f>
        <v/>
      </c>
      <c r="I95" s="8">
        <f>Inspecciones!E95</f>
        <v/>
      </c>
      <c r="J95" s="8">
        <f>Inspecciones!F95</f>
        <v/>
      </c>
      <c r="K95" s="8">
        <f>Inspecciones!G95</f>
        <v/>
      </c>
    </row>
    <row r="96">
      <c r="A96" s="7">
        <f>Inspecciones!A96</f>
        <v/>
      </c>
      <c r="B96" s="7">
        <f>Inspecciones!B96</f>
        <v/>
      </c>
      <c r="C96" s="7">
        <f>IFERROR(VLOOKUP(B96,Unidades!A:G,5,FALSE),"")</f>
        <v/>
      </c>
      <c r="D96" s="7">
        <f>IFERROR(VLOOKUP(B96,Unidades!A:G,6,FALSE),"")</f>
        <v/>
      </c>
      <c r="E96" s="7">
        <f>IFERROR(VLOOKUP(B96,Unidades!A:G,7,FALSE),"")</f>
        <v/>
      </c>
      <c r="F96" s="7">
        <f>IFERROR(VLOOKUP(B96,Unidades!A:G,2,FALSE),"")</f>
        <v/>
      </c>
      <c r="G96" s="7">
        <f>IFERROR(VLOOKUP(B96,Unidades!A:G,4,FALSE),"")</f>
        <v/>
      </c>
      <c r="H96" s="7">
        <f>Inspecciones!D96</f>
        <v/>
      </c>
      <c r="I96" s="7">
        <f>Inspecciones!E96</f>
        <v/>
      </c>
      <c r="J96" s="7">
        <f>Inspecciones!F96</f>
        <v/>
      </c>
      <c r="K96" s="7">
        <f>Inspecciones!G96</f>
        <v/>
      </c>
    </row>
    <row r="97">
      <c r="A97" s="8">
        <f>Inspecciones!A97</f>
        <v/>
      </c>
      <c r="B97" s="8">
        <f>Inspecciones!B97</f>
        <v/>
      </c>
      <c r="C97" s="8">
        <f>IFERROR(VLOOKUP(B97,Unidades!A:G,5,FALSE),"")</f>
        <v/>
      </c>
      <c r="D97" s="8">
        <f>IFERROR(VLOOKUP(B97,Unidades!A:G,6,FALSE),"")</f>
        <v/>
      </c>
      <c r="E97" s="8">
        <f>IFERROR(VLOOKUP(B97,Unidades!A:G,7,FALSE),"")</f>
        <v/>
      </c>
      <c r="F97" s="8">
        <f>IFERROR(VLOOKUP(B97,Unidades!A:G,2,FALSE),"")</f>
        <v/>
      </c>
      <c r="G97" s="8">
        <f>IFERROR(VLOOKUP(B97,Unidades!A:G,4,FALSE),"")</f>
        <v/>
      </c>
      <c r="H97" s="8">
        <f>Inspecciones!D97</f>
        <v/>
      </c>
      <c r="I97" s="8">
        <f>Inspecciones!E97</f>
        <v/>
      </c>
      <c r="J97" s="8">
        <f>Inspecciones!F97</f>
        <v/>
      </c>
      <c r="K97" s="8">
        <f>Inspecciones!G97</f>
        <v/>
      </c>
    </row>
    <row r="98">
      <c r="A98" s="7">
        <f>Inspecciones!A98</f>
        <v/>
      </c>
      <c r="B98" s="7">
        <f>Inspecciones!B98</f>
        <v/>
      </c>
      <c r="C98" s="7">
        <f>IFERROR(VLOOKUP(B98,Unidades!A:G,5,FALSE),"")</f>
        <v/>
      </c>
      <c r="D98" s="7">
        <f>IFERROR(VLOOKUP(B98,Unidades!A:G,6,FALSE),"")</f>
        <v/>
      </c>
      <c r="E98" s="7">
        <f>IFERROR(VLOOKUP(B98,Unidades!A:G,7,FALSE),"")</f>
        <v/>
      </c>
      <c r="F98" s="7">
        <f>IFERROR(VLOOKUP(B98,Unidades!A:G,2,FALSE),"")</f>
        <v/>
      </c>
      <c r="G98" s="7">
        <f>IFERROR(VLOOKUP(B98,Unidades!A:G,4,FALSE),"")</f>
        <v/>
      </c>
      <c r="H98" s="7">
        <f>Inspecciones!D98</f>
        <v/>
      </c>
      <c r="I98" s="7">
        <f>Inspecciones!E98</f>
        <v/>
      </c>
      <c r="J98" s="7">
        <f>Inspecciones!F98</f>
        <v/>
      </c>
      <c r="K98" s="7">
        <f>Inspecciones!G98</f>
        <v/>
      </c>
    </row>
    <row r="99">
      <c r="A99" s="8">
        <f>Inspecciones!A99</f>
        <v/>
      </c>
      <c r="B99" s="8">
        <f>Inspecciones!B99</f>
        <v/>
      </c>
      <c r="C99" s="8">
        <f>IFERROR(VLOOKUP(B99,Unidades!A:G,5,FALSE),"")</f>
        <v/>
      </c>
      <c r="D99" s="8">
        <f>IFERROR(VLOOKUP(B99,Unidades!A:G,6,FALSE),"")</f>
        <v/>
      </c>
      <c r="E99" s="8">
        <f>IFERROR(VLOOKUP(B99,Unidades!A:G,7,FALSE),"")</f>
        <v/>
      </c>
      <c r="F99" s="8">
        <f>IFERROR(VLOOKUP(B99,Unidades!A:G,2,FALSE),"")</f>
        <v/>
      </c>
      <c r="G99" s="8">
        <f>IFERROR(VLOOKUP(B99,Unidades!A:G,4,FALSE),"")</f>
        <v/>
      </c>
      <c r="H99" s="8">
        <f>Inspecciones!D99</f>
        <v/>
      </c>
      <c r="I99" s="8">
        <f>Inspecciones!E99</f>
        <v/>
      </c>
      <c r="J99" s="8">
        <f>Inspecciones!F99</f>
        <v/>
      </c>
      <c r="K99" s="8">
        <f>Inspecciones!G99</f>
        <v/>
      </c>
    </row>
    <row r="100">
      <c r="A100" s="7">
        <f>Inspecciones!A100</f>
        <v/>
      </c>
      <c r="B100" s="7">
        <f>Inspecciones!B100</f>
        <v/>
      </c>
      <c r="C100" s="7">
        <f>IFERROR(VLOOKUP(B100,Unidades!A:G,5,FALSE),"")</f>
        <v/>
      </c>
      <c r="D100" s="7">
        <f>IFERROR(VLOOKUP(B100,Unidades!A:G,6,FALSE),"")</f>
        <v/>
      </c>
      <c r="E100" s="7">
        <f>IFERROR(VLOOKUP(B100,Unidades!A:G,7,FALSE),"")</f>
        <v/>
      </c>
      <c r="F100" s="7">
        <f>IFERROR(VLOOKUP(B100,Unidades!A:G,2,FALSE),"")</f>
        <v/>
      </c>
      <c r="G100" s="7">
        <f>IFERROR(VLOOKUP(B100,Unidades!A:G,4,FALSE),"")</f>
        <v/>
      </c>
      <c r="H100" s="7">
        <f>Inspecciones!D100</f>
        <v/>
      </c>
      <c r="I100" s="7">
        <f>Inspecciones!E100</f>
        <v/>
      </c>
      <c r="J100" s="7">
        <f>Inspecciones!F100</f>
        <v/>
      </c>
      <c r="K100" s="7">
        <f>Inspecciones!G100</f>
        <v/>
      </c>
    </row>
    <row r="101">
      <c r="A101" s="8">
        <f>Inspecciones!A101</f>
        <v/>
      </c>
      <c r="B101" s="8">
        <f>Inspecciones!B101</f>
        <v/>
      </c>
      <c r="C101" s="8">
        <f>IFERROR(VLOOKUP(B101,Unidades!A:G,5,FALSE),"")</f>
        <v/>
      </c>
      <c r="D101" s="8">
        <f>IFERROR(VLOOKUP(B101,Unidades!A:G,6,FALSE),"")</f>
        <v/>
      </c>
      <c r="E101" s="8">
        <f>IFERROR(VLOOKUP(B101,Unidades!A:G,7,FALSE),"")</f>
        <v/>
      </c>
      <c r="F101" s="8">
        <f>IFERROR(VLOOKUP(B101,Unidades!A:G,2,FALSE),"")</f>
        <v/>
      </c>
      <c r="G101" s="8">
        <f>IFERROR(VLOOKUP(B101,Unidades!A:G,4,FALSE),"")</f>
        <v/>
      </c>
      <c r="H101" s="8">
        <f>Inspecciones!D101</f>
        <v/>
      </c>
      <c r="I101" s="8">
        <f>Inspecciones!E101</f>
        <v/>
      </c>
      <c r="J101" s="8">
        <f>Inspecciones!F101</f>
        <v/>
      </c>
      <c r="K101" s="8">
        <f>Inspecciones!G101</f>
        <v/>
      </c>
    </row>
    <row r="102">
      <c r="A102" s="7">
        <f>Inspecciones!A102</f>
        <v/>
      </c>
      <c r="B102" s="7">
        <f>Inspecciones!B102</f>
        <v/>
      </c>
      <c r="C102" s="7">
        <f>IFERROR(VLOOKUP(B102,Unidades!A:G,5,FALSE),"")</f>
        <v/>
      </c>
      <c r="D102" s="7">
        <f>IFERROR(VLOOKUP(B102,Unidades!A:G,6,FALSE),"")</f>
        <v/>
      </c>
      <c r="E102" s="7">
        <f>IFERROR(VLOOKUP(B102,Unidades!A:G,7,FALSE),"")</f>
        <v/>
      </c>
      <c r="F102" s="7">
        <f>IFERROR(VLOOKUP(B102,Unidades!A:G,2,FALSE),"")</f>
        <v/>
      </c>
      <c r="G102" s="7">
        <f>IFERROR(VLOOKUP(B102,Unidades!A:G,4,FALSE),"")</f>
        <v/>
      </c>
      <c r="H102" s="7">
        <f>Inspecciones!D102</f>
        <v/>
      </c>
      <c r="I102" s="7">
        <f>Inspecciones!E102</f>
        <v/>
      </c>
      <c r="J102" s="7">
        <f>Inspecciones!F102</f>
        <v/>
      </c>
      <c r="K102" s="7">
        <f>Inspecciones!G102</f>
        <v/>
      </c>
    </row>
    <row r="103">
      <c r="A103" s="8">
        <f>Inspecciones!A103</f>
        <v/>
      </c>
      <c r="B103" s="8">
        <f>Inspecciones!B103</f>
        <v/>
      </c>
      <c r="C103" s="8">
        <f>IFERROR(VLOOKUP(B103,Unidades!A:G,5,FALSE),"")</f>
        <v/>
      </c>
      <c r="D103" s="8">
        <f>IFERROR(VLOOKUP(B103,Unidades!A:G,6,FALSE),"")</f>
        <v/>
      </c>
      <c r="E103" s="8">
        <f>IFERROR(VLOOKUP(B103,Unidades!A:G,7,FALSE),"")</f>
        <v/>
      </c>
      <c r="F103" s="8">
        <f>IFERROR(VLOOKUP(B103,Unidades!A:G,2,FALSE),"")</f>
        <v/>
      </c>
      <c r="G103" s="8">
        <f>IFERROR(VLOOKUP(B103,Unidades!A:G,4,FALSE),"")</f>
        <v/>
      </c>
      <c r="H103" s="8">
        <f>Inspecciones!D103</f>
        <v/>
      </c>
      <c r="I103" s="8">
        <f>Inspecciones!E103</f>
        <v/>
      </c>
      <c r="J103" s="8">
        <f>Inspecciones!F103</f>
        <v/>
      </c>
      <c r="K103" s="8">
        <f>Inspecciones!G103</f>
        <v/>
      </c>
    </row>
    <row r="104">
      <c r="A104" s="7">
        <f>Inspecciones!A104</f>
        <v/>
      </c>
      <c r="B104" s="7">
        <f>Inspecciones!B104</f>
        <v/>
      </c>
      <c r="C104" s="7">
        <f>IFERROR(VLOOKUP(B104,Unidades!A:G,5,FALSE),"")</f>
        <v/>
      </c>
      <c r="D104" s="7">
        <f>IFERROR(VLOOKUP(B104,Unidades!A:G,6,FALSE),"")</f>
        <v/>
      </c>
      <c r="E104" s="7">
        <f>IFERROR(VLOOKUP(B104,Unidades!A:G,7,FALSE),"")</f>
        <v/>
      </c>
      <c r="F104" s="7">
        <f>IFERROR(VLOOKUP(B104,Unidades!A:G,2,FALSE),"")</f>
        <v/>
      </c>
      <c r="G104" s="7">
        <f>IFERROR(VLOOKUP(B104,Unidades!A:G,4,FALSE),"")</f>
        <v/>
      </c>
      <c r="H104" s="7">
        <f>Inspecciones!D104</f>
        <v/>
      </c>
      <c r="I104" s="7">
        <f>Inspecciones!E104</f>
        <v/>
      </c>
      <c r="J104" s="7">
        <f>Inspecciones!F104</f>
        <v/>
      </c>
      <c r="K104" s="7">
        <f>Inspecciones!G104</f>
        <v/>
      </c>
    </row>
    <row r="105">
      <c r="A105" s="8">
        <f>Inspecciones!A105</f>
        <v/>
      </c>
      <c r="B105" s="8">
        <f>Inspecciones!B105</f>
        <v/>
      </c>
      <c r="C105" s="8">
        <f>IFERROR(VLOOKUP(B105,Unidades!A:G,5,FALSE),"")</f>
        <v/>
      </c>
      <c r="D105" s="8">
        <f>IFERROR(VLOOKUP(B105,Unidades!A:G,6,FALSE),"")</f>
        <v/>
      </c>
      <c r="E105" s="8">
        <f>IFERROR(VLOOKUP(B105,Unidades!A:G,7,FALSE),"")</f>
        <v/>
      </c>
      <c r="F105" s="8">
        <f>IFERROR(VLOOKUP(B105,Unidades!A:G,2,FALSE),"")</f>
        <v/>
      </c>
      <c r="G105" s="8">
        <f>IFERROR(VLOOKUP(B105,Unidades!A:G,4,FALSE),"")</f>
        <v/>
      </c>
      <c r="H105" s="8">
        <f>Inspecciones!D105</f>
        <v/>
      </c>
      <c r="I105" s="8">
        <f>Inspecciones!E105</f>
        <v/>
      </c>
      <c r="J105" s="8">
        <f>Inspecciones!F105</f>
        <v/>
      </c>
      <c r="K105" s="8">
        <f>Inspecciones!G105</f>
        <v/>
      </c>
    </row>
    <row r="106">
      <c r="A106" s="7">
        <f>Inspecciones!A106</f>
        <v/>
      </c>
      <c r="B106" s="7">
        <f>Inspecciones!B106</f>
        <v/>
      </c>
      <c r="C106" s="7">
        <f>IFERROR(VLOOKUP(B106,Unidades!A:G,5,FALSE),"")</f>
        <v/>
      </c>
      <c r="D106" s="7">
        <f>IFERROR(VLOOKUP(B106,Unidades!A:G,6,FALSE),"")</f>
        <v/>
      </c>
      <c r="E106" s="7">
        <f>IFERROR(VLOOKUP(B106,Unidades!A:G,7,FALSE),"")</f>
        <v/>
      </c>
      <c r="F106" s="7">
        <f>IFERROR(VLOOKUP(B106,Unidades!A:G,2,FALSE),"")</f>
        <v/>
      </c>
      <c r="G106" s="7">
        <f>IFERROR(VLOOKUP(B106,Unidades!A:G,4,FALSE),"")</f>
        <v/>
      </c>
      <c r="H106" s="7">
        <f>Inspecciones!D106</f>
        <v/>
      </c>
      <c r="I106" s="7">
        <f>Inspecciones!E106</f>
        <v/>
      </c>
      <c r="J106" s="7">
        <f>Inspecciones!F106</f>
        <v/>
      </c>
      <c r="K106" s="7">
        <f>Inspecciones!G106</f>
        <v/>
      </c>
    </row>
    <row r="107">
      <c r="A107" s="8">
        <f>Inspecciones!A107</f>
        <v/>
      </c>
      <c r="B107" s="8">
        <f>Inspecciones!B107</f>
        <v/>
      </c>
      <c r="C107" s="8">
        <f>IFERROR(VLOOKUP(B107,Unidades!A:G,5,FALSE),"")</f>
        <v/>
      </c>
      <c r="D107" s="8">
        <f>IFERROR(VLOOKUP(B107,Unidades!A:G,6,FALSE),"")</f>
        <v/>
      </c>
      <c r="E107" s="8">
        <f>IFERROR(VLOOKUP(B107,Unidades!A:G,7,FALSE),"")</f>
        <v/>
      </c>
      <c r="F107" s="8">
        <f>IFERROR(VLOOKUP(B107,Unidades!A:G,2,FALSE),"")</f>
        <v/>
      </c>
      <c r="G107" s="8">
        <f>IFERROR(VLOOKUP(B107,Unidades!A:G,4,FALSE),"")</f>
        <v/>
      </c>
      <c r="H107" s="8">
        <f>Inspecciones!D107</f>
        <v/>
      </c>
      <c r="I107" s="8">
        <f>Inspecciones!E107</f>
        <v/>
      </c>
      <c r="J107" s="8">
        <f>Inspecciones!F107</f>
        <v/>
      </c>
      <c r="K107" s="8">
        <f>Inspecciones!G107</f>
        <v/>
      </c>
    </row>
    <row r="108">
      <c r="A108" s="7">
        <f>Inspecciones!A108</f>
        <v/>
      </c>
      <c r="B108" s="7">
        <f>Inspecciones!B108</f>
        <v/>
      </c>
      <c r="C108" s="7">
        <f>IFERROR(VLOOKUP(B108,Unidades!A:G,5,FALSE),"")</f>
        <v/>
      </c>
      <c r="D108" s="7">
        <f>IFERROR(VLOOKUP(B108,Unidades!A:G,6,FALSE),"")</f>
        <v/>
      </c>
      <c r="E108" s="7">
        <f>IFERROR(VLOOKUP(B108,Unidades!A:G,7,FALSE),"")</f>
        <v/>
      </c>
      <c r="F108" s="7">
        <f>IFERROR(VLOOKUP(B108,Unidades!A:G,2,FALSE),"")</f>
        <v/>
      </c>
      <c r="G108" s="7">
        <f>IFERROR(VLOOKUP(B108,Unidades!A:G,4,FALSE),"")</f>
        <v/>
      </c>
      <c r="H108" s="7">
        <f>Inspecciones!D108</f>
        <v/>
      </c>
      <c r="I108" s="7">
        <f>Inspecciones!E108</f>
        <v/>
      </c>
      <c r="J108" s="7">
        <f>Inspecciones!F108</f>
        <v/>
      </c>
      <c r="K108" s="7">
        <f>Inspecciones!G108</f>
        <v/>
      </c>
    </row>
    <row r="109">
      <c r="A109" s="8">
        <f>Inspecciones!A109</f>
        <v/>
      </c>
      <c r="B109" s="8">
        <f>Inspecciones!B109</f>
        <v/>
      </c>
      <c r="C109" s="8">
        <f>IFERROR(VLOOKUP(B109,Unidades!A:G,5,FALSE),"")</f>
        <v/>
      </c>
      <c r="D109" s="8">
        <f>IFERROR(VLOOKUP(B109,Unidades!A:G,6,FALSE),"")</f>
        <v/>
      </c>
      <c r="E109" s="8">
        <f>IFERROR(VLOOKUP(B109,Unidades!A:G,7,FALSE),"")</f>
        <v/>
      </c>
      <c r="F109" s="8">
        <f>IFERROR(VLOOKUP(B109,Unidades!A:G,2,FALSE),"")</f>
        <v/>
      </c>
      <c r="G109" s="8">
        <f>IFERROR(VLOOKUP(B109,Unidades!A:G,4,FALSE),"")</f>
        <v/>
      </c>
      <c r="H109" s="8">
        <f>Inspecciones!D109</f>
        <v/>
      </c>
      <c r="I109" s="8">
        <f>Inspecciones!E109</f>
        <v/>
      </c>
      <c r="J109" s="8">
        <f>Inspecciones!F109</f>
        <v/>
      </c>
      <c r="K109" s="8">
        <f>Inspecciones!G109</f>
        <v/>
      </c>
    </row>
    <row r="110">
      <c r="A110" s="7">
        <f>Inspecciones!A110</f>
        <v/>
      </c>
      <c r="B110" s="7">
        <f>Inspecciones!B110</f>
        <v/>
      </c>
      <c r="C110" s="7">
        <f>IFERROR(VLOOKUP(B110,Unidades!A:G,5,FALSE),"")</f>
        <v/>
      </c>
      <c r="D110" s="7">
        <f>IFERROR(VLOOKUP(B110,Unidades!A:G,6,FALSE),"")</f>
        <v/>
      </c>
      <c r="E110" s="7">
        <f>IFERROR(VLOOKUP(B110,Unidades!A:G,7,FALSE),"")</f>
        <v/>
      </c>
      <c r="F110" s="7">
        <f>IFERROR(VLOOKUP(B110,Unidades!A:G,2,FALSE),"")</f>
        <v/>
      </c>
      <c r="G110" s="7">
        <f>IFERROR(VLOOKUP(B110,Unidades!A:G,4,FALSE),"")</f>
        <v/>
      </c>
      <c r="H110" s="7">
        <f>Inspecciones!D110</f>
        <v/>
      </c>
      <c r="I110" s="7">
        <f>Inspecciones!E110</f>
        <v/>
      </c>
      <c r="J110" s="7">
        <f>Inspecciones!F110</f>
        <v/>
      </c>
      <c r="K110" s="7">
        <f>Inspecciones!G110</f>
        <v/>
      </c>
    </row>
    <row r="111">
      <c r="A111" s="8">
        <f>Inspecciones!A111</f>
        <v/>
      </c>
      <c r="B111" s="8">
        <f>Inspecciones!B111</f>
        <v/>
      </c>
      <c r="C111" s="8">
        <f>IFERROR(VLOOKUP(B111,Unidades!A:G,5,FALSE),"")</f>
        <v/>
      </c>
      <c r="D111" s="8">
        <f>IFERROR(VLOOKUP(B111,Unidades!A:G,6,FALSE),"")</f>
        <v/>
      </c>
      <c r="E111" s="8">
        <f>IFERROR(VLOOKUP(B111,Unidades!A:G,7,FALSE),"")</f>
        <v/>
      </c>
      <c r="F111" s="8">
        <f>IFERROR(VLOOKUP(B111,Unidades!A:G,2,FALSE),"")</f>
        <v/>
      </c>
      <c r="G111" s="8">
        <f>IFERROR(VLOOKUP(B111,Unidades!A:G,4,FALSE),"")</f>
        <v/>
      </c>
      <c r="H111" s="8">
        <f>Inspecciones!D111</f>
        <v/>
      </c>
      <c r="I111" s="8">
        <f>Inspecciones!E111</f>
        <v/>
      </c>
      <c r="J111" s="8">
        <f>Inspecciones!F111</f>
        <v/>
      </c>
      <c r="K111" s="8">
        <f>Inspecciones!G111</f>
        <v/>
      </c>
    </row>
    <row r="112">
      <c r="A112" s="7">
        <f>Inspecciones!A112</f>
        <v/>
      </c>
      <c r="B112" s="7">
        <f>Inspecciones!B112</f>
        <v/>
      </c>
      <c r="C112" s="7">
        <f>IFERROR(VLOOKUP(B112,Unidades!A:G,5,FALSE),"")</f>
        <v/>
      </c>
      <c r="D112" s="7">
        <f>IFERROR(VLOOKUP(B112,Unidades!A:G,6,FALSE),"")</f>
        <v/>
      </c>
      <c r="E112" s="7">
        <f>IFERROR(VLOOKUP(B112,Unidades!A:G,7,FALSE),"")</f>
        <v/>
      </c>
      <c r="F112" s="7">
        <f>IFERROR(VLOOKUP(B112,Unidades!A:G,2,FALSE),"")</f>
        <v/>
      </c>
      <c r="G112" s="7">
        <f>IFERROR(VLOOKUP(B112,Unidades!A:G,4,FALSE),"")</f>
        <v/>
      </c>
      <c r="H112" s="7">
        <f>Inspecciones!D112</f>
        <v/>
      </c>
      <c r="I112" s="7">
        <f>Inspecciones!E112</f>
        <v/>
      </c>
      <c r="J112" s="7">
        <f>Inspecciones!F112</f>
        <v/>
      </c>
      <c r="K112" s="7">
        <f>Inspecciones!G112</f>
        <v/>
      </c>
    </row>
    <row r="113">
      <c r="A113" s="8">
        <f>Inspecciones!A113</f>
        <v/>
      </c>
      <c r="B113" s="8">
        <f>Inspecciones!B113</f>
        <v/>
      </c>
      <c r="C113" s="8">
        <f>IFERROR(VLOOKUP(B113,Unidades!A:G,5,FALSE),"")</f>
        <v/>
      </c>
      <c r="D113" s="8">
        <f>IFERROR(VLOOKUP(B113,Unidades!A:G,6,FALSE),"")</f>
        <v/>
      </c>
      <c r="E113" s="8">
        <f>IFERROR(VLOOKUP(B113,Unidades!A:G,7,FALSE),"")</f>
        <v/>
      </c>
      <c r="F113" s="8">
        <f>IFERROR(VLOOKUP(B113,Unidades!A:G,2,FALSE),"")</f>
        <v/>
      </c>
      <c r="G113" s="8">
        <f>IFERROR(VLOOKUP(B113,Unidades!A:G,4,FALSE),"")</f>
        <v/>
      </c>
      <c r="H113" s="8">
        <f>Inspecciones!D113</f>
        <v/>
      </c>
      <c r="I113" s="8">
        <f>Inspecciones!E113</f>
        <v/>
      </c>
      <c r="J113" s="8">
        <f>Inspecciones!F113</f>
        <v/>
      </c>
      <c r="K113" s="8">
        <f>Inspecciones!G113</f>
        <v/>
      </c>
    </row>
    <row r="114">
      <c r="A114" s="7">
        <f>Inspecciones!A114</f>
        <v/>
      </c>
      <c r="B114" s="7">
        <f>Inspecciones!B114</f>
        <v/>
      </c>
      <c r="C114" s="7">
        <f>IFERROR(VLOOKUP(B114,Unidades!A:G,5,FALSE),"")</f>
        <v/>
      </c>
      <c r="D114" s="7">
        <f>IFERROR(VLOOKUP(B114,Unidades!A:G,6,FALSE),"")</f>
        <v/>
      </c>
      <c r="E114" s="7">
        <f>IFERROR(VLOOKUP(B114,Unidades!A:G,7,FALSE),"")</f>
        <v/>
      </c>
      <c r="F114" s="7">
        <f>IFERROR(VLOOKUP(B114,Unidades!A:G,2,FALSE),"")</f>
        <v/>
      </c>
      <c r="G114" s="7">
        <f>IFERROR(VLOOKUP(B114,Unidades!A:G,4,FALSE),"")</f>
        <v/>
      </c>
      <c r="H114" s="7">
        <f>Inspecciones!D114</f>
        <v/>
      </c>
      <c r="I114" s="7">
        <f>Inspecciones!E114</f>
        <v/>
      </c>
      <c r="J114" s="7">
        <f>Inspecciones!F114</f>
        <v/>
      </c>
      <c r="K114" s="7">
        <f>Inspecciones!G114</f>
        <v/>
      </c>
    </row>
    <row r="115">
      <c r="A115" s="8">
        <f>Inspecciones!A115</f>
        <v/>
      </c>
      <c r="B115" s="8">
        <f>Inspecciones!B115</f>
        <v/>
      </c>
      <c r="C115" s="8">
        <f>IFERROR(VLOOKUP(B115,Unidades!A:G,5,FALSE),"")</f>
        <v/>
      </c>
      <c r="D115" s="8">
        <f>IFERROR(VLOOKUP(B115,Unidades!A:G,6,FALSE),"")</f>
        <v/>
      </c>
      <c r="E115" s="8">
        <f>IFERROR(VLOOKUP(B115,Unidades!A:G,7,FALSE),"")</f>
        <v/>
      </c>
      <c r="F115" s="8">
        <f>IFERROR(VLOOKUP(B115,Unidades!A:G,2,FALSE),"")</f>
        <v/>
      </c>
      <c r="G115" s="8">
        <f>IFERROR(VLOOKUP(B115,Unidades!A:G,4,FALSE),"")</f>
        <v/>
      </c>
      <c r="H115" s="8">
        <f>Inspecciones!D115</f>
        <v/>
      </c>
      <c r="I115" s="8">
        <f>Inspecciones!E115</f>
        <v/>
      </c>
      <c r="J115" s="8">
        <f>Inspecciones!F115</f>
        <v/>
      </c>
      <c r="K115" s="8">
        <f>Inspecciones!G115</f>
        <v/>
      </c>
    </row>
    <row r="116">
      <c r="A116" s="7">
        <f>Inspecciones!A116</f>
        <v/>
      </c>
      <c r="B116" s="7">
        <f>Inspecciones!B116</f>
        <v/>
      </c>
      <c r="C116" s="7">
        <f>IFERROR(VLOOKUP(B116,Unidades!A:G,5,FALSE),"")</f>
        <v/>
      </c>
      <c r="D116" s="7">
        <f>IFERROR(VLOOKUP(B116,Unidades!A:G,6,FALSE),"")</f>
        <v/>
      </c>
      <c r="E116" s="7">
        <f>IFERROR(VLOOKUP(B116,Unidades!A:G,7,FALSE),"")</f>
        <v/>
      </c>
      <c r="F116" s="7">
        <f>IFERROR(VLOOKUP(B116,Unidades!A:G,2,FALSE),"")</f>
        <v/>
      </c>
      <c r="G116" s="7">
        <f>IFERROR(VLOOKUP(B116,Unidades!A:G,4,FALSE),"")</f>
        <v/>
      </c>
      <c r="H116" s="7">
        <f>Inspecciones!D116</f>
        <v/>
      </c>
      <c r="I116" s="7">
        <f>Inspecciones!E116</f>
        <v/>
      </c>
      <c r="J116" s="7">
        <f>Inspecciones!F116</f>
        <v/>
      </c>
      <c r="K116" s="7">
        <f>Inspecciones!G116</f>
        <v/>
      </c>
    </row>
    <row r="117">
      <c r="A117" s="8">
        <f>Inspecciones!A117</f>
        <v/>
      </c>
      <c r="B117" s="8">
        <f>Inspecciones!B117</f>
        <v/>
      </c>
      <c r="C117" s="8">
        <f>IFERROR(VLOOKUP(B117,Unidades!A:G,5,FALSE),"")</f>
        <v/>
      </c>
      <c r="D117" s="8">
        <f>IFERROR(VLOOKUP(B117,Unidades!A:G,6,FALSE),"")</f>
        <v/>
      </c>
      <c r="E117" s="8">
        <f>IFERROR(VLOOKUP(B117,Unidades!A:G,7,FALSE),"")</f>
        <v/>
      </c>
      <c r="F117" s="8">
        <f>IFERROR(VLOOKUP(B117,Unidades!A:G,2,FALSE),"")</f>
        <v/>
      </c>
      <c r="G117" s="8">
        <f>IFERROR(VLOOKUP(B117,Unidades!A:G,4,FALSE),"")</f>
        <v/>
      </c>
      <c r="H117" s="8">
        <f>Inspecciones!D117</f>
        <v/>
      </c>
      <c r="I117" s="8">
        <f>Inspecciones!E117</f>
        <v/>
      </c>
      <c r="J117" s="8">
        <f>Inspecciones!F117</f>
        <v/>
      </c>
      <c r="K117" s="8">
        <f>Inspecciones!G117</f>
        <v/>
      </c>
    </row>
    <row r="118">
      <c r="A118" s="7">
        <f>Inspecciones!A118</f>
        <v/>
      </c>
      <c r="B118" s="7">
        <f>Inspecciones!B118</f>
        <v/>
      </c>
      <c r="C118" s="7">
        <f>IFERROR(VLOOKUP(B118,Unidades!A:G,5,FALSE),"")</f>
        <v/>
      </c>
      <c r="D118" s="7">
        <f>IFERROR(VLOOKUP(B118,Unidades!A:G,6,FALSE),"")</f>
        <v/>
      </c>
      <c r="E118" s="7">
        <f>IFERROR(VLOOKUP(B118,Unidades!A:G,7,FALSE),"")</f>
        <v/>
      </c>
      <c r="F118" s="7">
        <f>IFERROR(VLOOKUP(B118,Unidades!A:G,2,FALSE),"")</f>
        <v/>
      </c>
      <c r="G118" s="7">
        <f>IFERROR(VLOOKUP(B118,Unidades!A:G,4,FALSE),"")</f>
        <v/>
      </c>
      <c r="H118" s="7">
        <f>Inspecciones!D118</f>
        <v/>
      </c>
      <c r="I118" s="7">
        <f>Inspecciones!E118</f>
        <v/>
      </c>
      <c r="J118" s="7">
        <f>Inspecciones!F118</f>
        <v/>
      </c>
      <c r="K118" s="7">
        <f>Inspecciones!G118</f>
        <v/>
      </c>
    </row>
    <row r="119">
      <c r="A119" s="8">
        <f>Inspecciones!A119</f>
        <v/>
      </c>
      <c r="B119" s="8">
        <f>Inspecciones!B119</f>
        <v/>
      </c>
      <c r="C119" s="8">
        <f>IFERROR(VLOOKUP(B119,Unidades!A:G,5,FALSE),"")</f>
        <v/>
      </c>
      <c r="D119" s="8">
        <f>IFERROR(VLOOKUP(B119,Unidades!A:G,6,FALSE),"")</f>
        <v/>
      </c>
      <c r="E119" s="8">
        <f>IFERROR(VLOOKUP(B119,Unidades!A:G,7,FALSE),"")</f>
        <v/>
      </c>
      <c r="F119" s="8">
        <f>IFERROR(VLOOKUP(B119,Unidades!A:G,2,FALSE),"")</f>
        <v/>
      </c>
      <c r="G119" s="8">
        <f>IFERROR(VLOOKUP(B119,Unidades!A:G,4,FALSE),"")</f>
        <v/>
      </c>
      <c r="H119" s="8">
        <f>Inspecciones!D119</f>
        <v/>
      </c>
      <c r="I119" s="8">
        <f>Inspecciones!E119</f>
        <v/>
      </c>
      <c r="J119" s="8">
        <f>Inspecciones!F119</f>
        <v/>
      </c>
      <c r="K119" s="8">
        <f>Inspecciones!G119</f>
        <v/>
      </c>
    </row>
    <row r="120">
      <c r="A120" s="7">
        <f>Inspecciones!A120</f>
        <v/>
      </c>
      <c r="B120" s="7">
        <f>Inspecciones!B120</f>
        <v/>
      </c>
      <c r="C120" s="7">
        <f>IFERROR(VLOOKUP(B120,Unidades!A:G,5,FALSE),"")</f>
        <v/>
      </c>
      <c r="D120" s="7">
        <f>IFERROR(VLOOKUP(B120,Unidades!A:G,6,FALSE),"")</f>
        <v/>
      </c>
      <c r="E120" s="7">
        <f>IFERROR(VLOOKUP(B120,Unidades!A:G,7,FALSE),"")</f>
        <v/>
      </c>
      <c r="F120" s="7">
        <f>IFERROR(VLOOKUP(B120,Unidades!A:G,2,FALSE),"")</f>
        <v/>
      </c>
      <c r="G120" s="7">
        <f>IFERROR(VLOOKUP(B120,Unidades!A:G,4,FALSE),"")</f>
        <v/>
      </c>
      <c r="H120" s="7">
        <f>Inspecciones!D120</f>
        <v/>
      </c>
      <c r="I120" s="7">
        <f>Inspecciones!E120</f>
        <v/>
      </c>
      <c r="J120" s="7">
        <f>Inspecciones!F120</f>
        <v/>
      </c>
      <c r="K120" s="7">
        <f>Inspecciones!G120</f>
        <v/>
      </c>
    </row>
    <row r="121">
      <c r="A121" s="8">
        <f>Inspecciones!A121</f>
        <v/>
      </c>
      <c r="B121" s="8">
        <f>Inspecciones!B121</f>
        <v/>
      </c>
      <c r="C121" s="8">
        <f>IFERROR(VLOOKUP(B121,Unidades!A:G,5,FALSE),"")</f>
        <v/>
      </c>
      <c r="D121" s="8">
        <f>IFERROR(VLOOKUP(B121,Unidades!A:G,6,FALSE),"")</f>
        <v/>
      </c>
      <c r="E121" s="8">
        <f>IFERROR(VLOOKUP(B121,Unidades!A:G,7,FALSE),"")</f>
        <v/>
      </c>
      <c r="F121" s="8">
        <f>IFERROR(VLOOKUP(B121,Unidades!A:G,2,FALSE),"")</f>
        <v/>
      </c>
      <c r="G121" s="8">
        <f>IFERROR(VLOOKUP(B121,Unidades!A:G,4,FALSE),"")</f>
        <v/>
      </c>
      <c r="H121" s="8">
        <f>Inspecciones!D121</f>
        <v/>
      </c>
      <c r="I121" s="8">
        <f>Inspecciones!E121</f>
        <v/>
      </c>
      <c r="J121" s="8">
        <f>Inspecciones!F121</f>
        <v/>
      </c>
      <c r="K121" s="8">
        <f>Inspecciones!G121</f>
        <v/>
      </c>
    </row>
    <row r="122">
      <c r="A122" s="7">
        <f>Inspecciones!A122</f>
        <v/>
      </c>
      <c r="B122" s="7">
        <f>Inspecciones!B122</f>
        <v/>
      </c>
      <c r="C122" s="7">
        <f>IFERROR(VLOOKUP(B122,Unidades!A:G,5,FALSE),"")</f>
        <v/>
      </c>
      <c r="D122" s="7">
        <f>IFERROR(VLOOKUP(B122,Unidades!A:G,6,FALSE),"")</f>
        <v/>
      </c>
      <c r="E122" s="7">
        <f>IFERROR(VLOOKUP(B122,Unidades!A:G,7,FALSE),"")</f>
        <v/>
      </c>
      <c r="F122" s="7">
        <f>IFERROR(VLOOKUP(B122,Unidades!A:G,2,FALSE),"")</f>
        <v/>
      </c>
      <c r="G122" s="7">
        <f>IFERROR(VLOOKUP(B122,Unidades!A:G,4,FALSE),"")</f>
        <v/>
      </c>
      <c r="H122" s="7">
        <f>Inspecciones!D122</f>
        <v/>
      </c>
      <c r="I122" s="7">
        <f>Inspecciones!E122</f>
        <v/>
      </c>
      <c r="J122" s="7">
        <f>Inspecciones!F122</f>
        <v/>
      </c>
      <c r="K122" s="7">
        <f>Inspecciones!G122</f>
        <v/>
      </c>
    </row>
    <row r="123">
      <c r="A123" s="8">
        <f>Inspecciones!A123</f>
        <v/>
      </c>
      <c r="B123" s="8">
        <f>Inspecciones!B123</f>
        <v/>
      </c>
      <c r="C123" s="8">
        <f>IFERROR(VLOOKUP(B123,Unidades!A:G,5,FALSE),"")</f>
        <v/>
      </c>
      <c r="D123" s="8">
        <f>IFERROR(VLOOKUP(B123,Unidades!A:G,6,FALSE),"")</f>
        <v/>
      </c>
      <c r="E123" s="8">
        <f>IFERROR(VLOOKUP(B123,Unidades!A:G,7,FALSE),"")</f>
        <v/>
      </c>
      <c r="F123" s="8">
        <f>IFERROR(VLOOKUP(B123,Unidades!A:G,2,FALSE),"")</f>
        <v/>
      </c>
      <c r="G123" s="8">
        <f>IFERROR(VLOOKUP(B123,Unidades!A:G,4,FALSE),"")</f>
        <v/>
      </c>
      <c r="H123" s="8">
        <f>Inspecciones!D123</f>
        <v/>
      </c>
      <c r="I123" s="8">
        <f>Inspecciones!E123</f>
        <v/>
      </c>
      <c r="J123" s="8">
        <f>Inspecciones!F123</f>
        <v/>
      </c>
      <c r="K123" s="8">
        <f>Inspecciones!G123</f>
        <v/>
      </c>
    </row>
    <row r="124">
      <c r="A124" s="7">
        <f>Inspecciones!A124</f>
        <v/>
      </c>
      <c r="B124" s="7">
        <f>Inspecciones!B124</f>
        <v/>
      </c>
      <c r="C124" s="7">
        <f>IFERROR(VLOOKUP(B124,Unidades!A:G,5,FALSE),"")</f>
        <v/>
      </c>
      <c r="D124" s="7">
        <f>IFERROR(VLOOKUP(B124,Unidades!A:G,6,FALSE),"")</f>
        <v/>
      </c>
      <c r="E124" s="7">
        <f>IFERROR(VLOOKUP(B124,Unidades!A:G,7,FALSE),"")</f>
        <v/>
      </c>
      <c r="F124" s="7">
        <f>IFERROR(VLOOKUP(B124,Unidades!A:G,2,FALSE),"")</f>
        <v/>
      </c>
      <c r="G124" s="7">
        <f>IFERROR(VLOOKUP(B124,Unidades!A:G,4,FALSE),"")</f>
        <v/>
      </c>
      <c r="H124" s="7">
        <f>Inspecciones!D124</f>
        <v/>
      </c>
      <c r="I124" s="7">
        <f>Inspecciones!E124</f>
        <v/>
      </c>
      <c r="J124" s="7">
        <f>Inspecciones!F124</f>
        <v/>
      </c>
      <c r="K124" s="7">
        <f>Inspecciones!G124</f>
        <v/>
      </c>
    </row>
    <row r="125">
      <c r="A125" s="8">
        <f>Inspecciones!A125</f>
        <v/>
      </c>
      <c r="B125" s="8">
        <f>Inspecciones!B125</f>
        <v/>
      </c>
      <c r="C125" s="8">
        <f>IFERROR(VLOOKUP(B125,Unidades!A:G,5,FALSE),"")</f>
        <v/>
      </c>
      <c r="D125" s="8">
        <f>IFERROR(VLOOKUP(B125,Unidades!A:G,6,FALSE),"")</f>
        <v/>
      </c>
      <c r="E125" s="8">
        <f>IFERROR(VLOOKUP(B125,Unidades!A:G,7,FALSE),"")</f>
        <v/>
      </c>
      <c r="F125" s="8">
        <f>IFERROR(VLOOKUP(B125,Unidades!A:G,2,FALSE),"")</f>
        <v/>
      </c>
      <c r="G125" s="8">
        <f>IFERROR(VLOOKUP(B125,Unidades!A:G,4,FALSE),"")</f>
        <v/>
      </c>
      <c r="H125" s="8">
        <f>Inspecciones!D125</f>
        <v/>
      </c>
      <c r="I125" s="8">
        <f>Inspecciones!E125</f>
        <v/>
      </c>
      <c r="J125" s="8">
        <f>Inspecciones!F125</f>
        <v/>
      </c>
      <c r="K125" s="8">
        <f>Inspecciones!G125</f>
        <v/>
      </c>
    </row>
    <row r="126">
      <c r="A126" s="7">
        <f>Inspecciones!A126</f>
        <v/>
      </c>
      <c r="B126" s="7">
        <f>Inspecciones!B126</f>
        <v/>
      </c>
      <c r="C126" s="7">
        <f>IFERROR(VLOOKUP(B126,Unidades!A:G,5,FALSE),"")</f>
        <v/>
      </c>
      <c r="D126" s="7">
        <f>IFERROR(VLOOKUP(B126,Unidades!A:G,6,FALSE),"")</f>
        <v/>
      </c>
      <c r="E126" s="7">
        <f>IFERROR(VLOOKUP(B126,Unidades!A:G,7,FALSE),"")</f>
        <v/>
      </c>
      <c r="F126" s="7">
        <f>IFERROR(VLOOKUP(B126,Unidades!A:G,2,FALSE),"")</f>
        <v/>
      </c>
      <c r="G126" s="7">
        <f>IFERROR(VLOOKUP(B126,Unidades!A:G,4,FALSE),"")</f>
        <v/>
      </c>
      <c r="H126" s="7">
        <f>Inspecciones!D126</f>
        <v/>
      </c>
      <c r="I126" s="7">
        <f>Inspecciones!E126</f>
        <v/>
      </c>
      <c r="J126" s="7">
        <f>Inspecciones!F126</f>
        <v/>
      </c>
      <c r="K126" s="7">
        <f>Inspecciones!G126</f>
        <v/>
      </c>
    </row>
    <row r="127">
      <c r="A127" s="8">
        <f>Inspecciones!A127</f>
        <v/>
      </c>
      <c r="B127" s="8">
        <f>Inspecciones!B127</f>
        <v/>
      </c>
      <c r="C127" s="8">
        <f>IFERROR(VLOOKUP(B127,Unidades!A:G,5,FALSE),"")</f>
        <v/>
      </c>
      <c r="D127" s="8">
        <f>IFERROR(VLOOKUP(B127,Unidades!A:G,6,FALSE),"")</f>
        <v/>
      </c>
      <c r="E127" s="8">
        <f>IFERROR(VLOOKUP(B127,Unidades!A:G,7,FALSE),"")</f>
        <v/>
      </c>
      <c r="F127" s="8">
        <f>IFERROR(VLOOKUP(B127,Unidades!A:G,2,FALSE),"")</f>
        <v/>
      </c>
      <c r="G127" s="8">
        <f>IFERROR(VLOOKUP(B127,Unidades!A:G,4,FALSE),"")</f>
        <v/>
      </c>
      <c r="H127" s="8">
        <f>Inspecciones!D127</f>
        <v/>
      </c>
      <c r="I127" s="8">
        <f>Inspecciones!E127</f>
        <v/>
      </c>
      <c r="J127" s="8">
        <f>Inspecciones!F127</f>
        <v/>
      </c>
      <c r="K127" s="8">
        <f>Inspecciones!G127</f>
        <v/>
      </c>
    </row>
    <row r="128">
      <c r="A128" s="7">
        <f>Inspecciones!A128</f>
        <v/>
      </c>
      <c r="B128" s="7">
        <f>Inspecciones!B128</f>
        <v/>
      </c>
      <c r="C128" s="7">
        <f>IFERROR(VLOOKUP(B128,Unidades!A:G,5,FALSE),"")</f>
        <v/>
      </c>
      <c r="D128" s="7">
        <f>IFERROR(VLOOKUP(B128,Unidades!A:G,6,FALSE),"")</f>
        <v/>
      </c>
      <c r="E128" s="7">
        <f>IFERROR(VLOOKUP(B128,Unidades!A:G,7,FALSE),"")</f>
        <v/>
      </c>
      <c r="F128" s="7">
        <f>IFERROR(VLOOKUP(B128,Unidades!A:G,2,FALSE),"")</f>
        <v/>
      </c>
      <c r="G128" s="7">
        <f>IFERROR(VLOOKUP(B128,Unidades!A:G,4,FALSE),"")</f>
        <v/>
      </c>
      <c r="H128" s="7">
        <f>Inspecciones!D128</f>
        <v/>
      </c>
      <c r="I128" s="7">
        <f>Inspecciones!E128</f>
        <v/>
      </c>
      <c r="J128" s="7">
        <f>Inspecciones!F128</f>
        <v/>
      </c>
      <c r="K128" s="7">
        <f>Inspecciones!G128</f>
        <v/>
      </c>
    </row>
    <row r="129">
      <c r="A129" s="8">
        <f>Inspecciones!A129</f>
        <v/>
      </c>
      <c r="B129" s="8">
        <f>Inspecciones!B129</f>
        <v/>
      </c>
      <c r="C129" s="8">
        <f>IFERROR(VLOOKUP(B129,Unidades!A:G,5,FALSE),"")</f>
        <v/>
      </c>
      <c r="D129" s="8">
        <f>IFERROR(VLOOKUP(B129,Unidades!A:G,6,FALSE),"")</f>
        <v/>
      </c>
      <c r="E129" s="8">
        <f>IFERROR(VLOOKUP(B129,Unidades!A:G,7,FALSE),"")</f>
        <v/>
      </c>
      <c r="F129" s="8">
        <f>IFERROR(VLOOKUP(B129,Unidades!A:G,2,FALSE),"")</f>
        <v/>
      </c>
      <c r="G129" s="8">
        <f>IFERROR(VLOOKUP(B129,Unidades!A:G,4,FALSE),"")</f>
        <v/>
      </c>
      <c r="H129" s="8">
        <f>Inspecciones!D129</f>
        <v/>
      </c>
      <c r="I129" s="8">
        <f>Inspecciones!E129</f>
        <v/>
      </c>
      <c r="J129" s="8">
        <f>Inspecciones!F129</f>
        <v/>
      </c>
      <c r="K129" s="8">
        <f>Inspecciones!G129</f>
        <v/>
      </c>
    </row>
    <row r="130">
      <c r="A130" s="7">
        <f>Inspecciones!A130</f>
        <v/>
      </c>
      <c r="B130" s="7">
        <f>Inspecciones!B130</f>
        <v/>
      </c>
      <c r="C130" s="7">
        <f>IFERROR(VLOOKUP(B130,Unidades!A:G,5,FALSE),"")</f>
        <v/>
      </c>
      <c r="D130" s="7">
        <f>IFERROR(VLOOKUP(B130,Unidades!A:G,6,FALSE),"")</f>
        <v/>
      </c>
      <c r="E130" s="7">
        <f>IFERROR(VLOOKUP(B130,Unidades!A:G,7,FALSE),"")</f>
        <v/>
      </c>
      <c r="F130" s="7">
        <f>IFERROR(VLOOKUP(B130,Unidades!A:G,2,FALSE),"")</f>
        <v/>
      </c>
      <c r="G130" s="7">
        <f>IFERROR(VLOOKUP(B130,Unidades!A:G,4,FALSE),"")</f>
        <v/>
      </c>
      <c r="H130" s="7">
        <f>Inspecciones!D130</f>
        <v/>
      </c>
      <c r="I130" s="7">
        <f>Inspecciones!E130</f>
        <v/>
      </c>
      <c r="J130" s="7">
        <f>Inspecciones!F130</f>
        <v/>
      </c>
      <c r="K130" s="7">
        <f>Inspecciones!G130</f>
        <v/>
      </c>
    </row>
    <row r="131">
      <c r="A131" s="8">
        <f>Inspecciones!A131</f>
        <v/>
      </c>
      <c r="B131" s="8">
        <f>Inspecciones!B131</f>
        <v/>
      </c>
      <c r="C131" s="8">
        <f>IFERROR(VLOOKUP(B131,Unidades!A:G,5,FALSE),"")</f>
        <v/>
      </c>
      <c r="D131" s="8">
        <f>IFERROR(VLOOKUP(B131,Unidades!A:G,6,FALSE),"")</f>
        <v/>
      </c>
      <c r="E131" s="8">
        <f>IFERROR(VLOOKUP(B131,Unidades!A:G,7,FALSE),"")</f>
        <v/>
      </c>
      <c r="F131" s="8">
        <f>IFERROR(VLOOKUP(B131,Unidades!A:G,2,FALSE),"")</f>
        <v/>
      </c>
      <c r="G131" s="8">
        <f>IFERROR(VLOOKUP(B131,Unidades!A:G,4,FALSE),"")</f>
        <v/>
      </c>
      <c r="H131" s="8">
        <f>Inspecciones!D131</f>
        <v/>
      </c>
      <c r="I131" s="8">
        <f>Inspecciones!E131</f>
        <v/>
      </c>
      <c r="J131" s="8">
        <f>Inspecciones!F131</f>
        <v/>
      </c>
      <c r="K131" s="8">
        <f>Inspecciones!G131</f>
        <v/>
      </c>
    </row>
    <row r="132">
      <c r="A132" s="7">
        <f>Inspecciones!A132</f>
        <v/>
      </c>
      <c r="B132" s="7">
        <f>Inspecciones!B132</f>
        <v/>
      </c>
      <c r="C132" s="7">
        <f>IFERROR(VLOOKUP(B132,Unidades!A:G,5,FALSE),"")</f>
        <v/>
      </c>
      <c r="D132" s="7">
        <f>IFERROR(VLOOKUP(B132,Unidades!A:G,6,FALSE),"")</f>
        <v/>
      </c>
      <c r="E132" s="7">
        <f>IFERROR(VLOOKUP(B132,Unidades!A:G,7,FALSE),"")</f>
        <v/>
      </c>
      <c r="F132" s="7">
        <f>IFERROR(VLOOKUP(B132,Unidades!A:G,2,FALSE),"")</f>
        <v/>
      </c>
      <c r="G132" s="7">
        <f>IFERROR(VLOOKUP(B132,Unidades!A:G,4,FALSE),"")</f>
        <v/>
      </c>
      <c r="H132" s="7">
        <f>Inspecciones!D132</f>
        <v/>
      </c>
      <c r="I132" s="7">
        <f>Inspecciones!E132</f>
        <v/>
      </c>
      <c r="J132" s="7">
        <f>Inspecciones!F132</f>
        <v/>
      </c>
      <c r="K132" s="7">
        <f>Inspecciones!G132</f>
        <v/>
      </c>
    </row>
    <row r="133">
      <c r="A133" s="8">
        <f>Inspecciones!A133</f>
        <v/>
      </c>
      <c r="B133" s="8">
        <f>Inspecciones!B133</f>
        <v/>
      </c>
      <c r="C133" s="8">
        <f>IFERROR(VLOOKUP(B133,Unidades!A:G,5,FALSE),"")</f>
        <v/>
      </c>
      <c r="D133" s="8">
        <f>IFERROR(VLOOKUP(B133,Unidades!A:G,6,FALSE),"")</f>
        <v/>
      </c>
      <c r="E133" s="8">
        <f>IFERROR(VLOOKUP(B133,Unidades!A:G,7,FALSE),"")</f>
        <v/>
      </c>
      <c r="F133" s="8">
        <f>IFERROR(VLOOKUP(B133,Unidades!A:G,2,FALSE),"")</f>
        <v/>
      </c>
      <c r="G133" s="8">
        <f>IFERROR(VLOOKUP(B133,Unidades!A:G,4,FALSE),"")</f>
        <v/>
      </c>
      <c r="H133" s="8">
        <f>Inspecciones!D133</f>
        <v/>
      </c>
      <c r="I133" s="8">
        <f>Inspecciones!E133</f>
        <v/>
      </c>
      <c r="J133" s="8">
        <f>Inspecciones!F133</f>
        <v/>
      </c>
      <c r="K133" s="8">
        <f>Inspecciones!G133</f>
        <v/>
      </c>
    </row>
    <row r="134">
      <c r="A134" s="7">
        <f>Inspecciones!A134</f>
        <v/>
      </c>
      <c r="B134" s="7">
        <f>Inspecciones!B134</f>
        <v/>
      </c>
      <c r="C134" s="7">
        <f>IFERROR(VLOOKUP(B134,Unidades!A:G,5,FALSE),"")</f>
        <v/>
      </c>
      <c r="D134" s="7">
        <f>IFERROR(VLOOKUP(B134,Unidades!A:G,6,FALSE),"")</f>
        <v/>
      </c>
      <c r="E134" s="7">
        <f>IFERROR(VLOOKUP(B134,Unidades!A:G,7,FALSE),"")</f>
        <v/>
      </c>
      <c r="F134" s="7">
        <f>IFERROR(VLOOKUP(B134,Unidades!A:G,2,FALSE),"")</f>
        <v/>
      </c>
      <c r="G134" s="7">
        <f>IFERROR(VLOOKUP(B134,Unidades!A:G,4,FALSE),"")</f>
        <v/>
      </c>
      <c r="H134" s="7">
        <f>Inspecciones!D134</f>
        <v/>
      </c>
      <c r="I134" s="7">
        <f>Inspecciones!E134</f>
        <v/>
      </c>
      <c r="J134" s="7">
        <f>Inspecciones!F134</f>
        <v/>
      </c>
      <c r="K134" s="7">
        <f>Inspecciones!G134</f>
        <v/>
      </c>
    </row>
    <row r="135">
      <c r="A135" s="8">
        <f>Inspecciones!A135</f>
        <v/>
      </c>
      <c r="B135" s="8">
        <f>Inspecciones!B135</f>
        <v/>
      </c>
      <c r="C135" s="8">
        <f>IFERROR(VLOOKUP(B135,Unidades!A:G,5,FALSE),"")</f>
        <v/>
      </c>
      <c r="D135" s="8">
        <f>IFERROR(VLOOKUP(B135,Unidades!A:G,6,FALSE),"")</f>
        <v/>
      </c>
      <c r="E135" s="8">
        <f>IFERROR(VLOOKUP(B135,Unidades!A:G,7,FALSE),"")</f>
        <v/>
      </c>
      <c r="F135" s="8">
        <f>IFERROR(VLOOKUP(B135,Unidades!A:G,2,FALSE),"")</f>
        <v/>
      </c>
      <c r="G135" s="8">
        <f>IFERROR(VLOOKUP(B135,Unidades!A:G,4,FALSE),"")</f>
        <v/>
      </c>
      <c r="H135" s="8">
        <f>Inspecciones!D135</f>
        <v/>
      </c>
      <c r="I135" s="8">
        <f>Inspecciones!E135</f>
        <v/>
      </c>
      <c r="J135" s="8">
        <f>Inspecciones!F135</f>
        <v/>
      </c>
      <c r="K135" s="8">
        <f>Inspecciones!G135</f>
        <v/>
      </c>
    </row>
    <row r="136">
      <c r="A136" s="7">
        <f>Inspecciones!A136</f>
        <v/>
      </c>
      <c r="B136" s="7">
        <f>Inspecciones!B136</f>
        <v/>
      </c>
      <c r="C136" s="7">
        <f>IFERROR(VLOOKUP(B136,Unidades!A:G,5,FALSE),"")</f>
        <v/>
      </c>
      <c r="D136" s="7">
        <f>IFERROR(VLOOKUP(B136,Unidades!A:G,6,FALSE),"")</f>
        <v/>
      </c>
      <c r="E136" s="7">
        <f>IFERROR(VLOOKUP(B136,Unidades!A:G,7,FALSE),"")</f>
        <v/>
      </c>
      <c r="F136" s="7">
        <f>IFERROR(VLOOKUP(B136,Unidades!A:G,2,FALSE),"")</f>
        <v/>
      </c>
      <c r="G136" s="7">
        <f>IFERROR(VLOOKUP(B136,Unidades!A:G,4,FALSE),"")</f>
        <v/>
      </c>
      <c r="H136" s="7">
        <f>Inspecciones!D136</f>
        <v/>
      </c>
      <c r="I136" s="7">
        <f>Inspecciones!E136</f>
        <v/>
      </c>
      <c r="J136" s="7">
        <f>Inspecciones!F136</f>
        <v/>
      </c>
      <c r="K136" s="7">
        <f>Inspecciones!G136</f>
        <v/>
      </c>
    </row>
    <row r="137">
      <c r="A137" s="8">
        <f>Inspecciones!A137</f>
        <v/>
      </c>
      <c r="B137" s="8">
        <f>Inspecciones!B137</f>
        <v/>
      </c>
      <c r="C137" s="8">
        <f>IFERROR(VLOOKUP(B137,Unidades!A:G,5,FALSE),"")</f>
        <v/>
      </c>
      <c r="D137" s="8">
        <f>IFERROR(VLOOKUP(B137,Unidades!A:G,6,FALSE),"")</f>
        <v/>
      </c>
      <c r="E137" s="8">
        <f>IFERROR(VLOOKUP(B137,Unidades!A:G,7,FALSE),"")</f>
        <v/>
      </c>
      <c r="F137" s="8">
        <f>IFERROR(VLOOKUP(B137,Unidades!A:G,2,FALSE),"")</f>
        <v/>
      </c>
      <c r="G137" s="8">
        <f>IFERROR(VLOOKUP(B137,Unidades!A:G,4,FALSE),"")</f>
        <v/>
      </c>
      <c r="H137" s="8">
        <f>Inspecciones!D137</f>
        <v/>
      </c>
      <c r="I137" s="8">
        <f>Inspecciones!E137</f>
        <v/>
      </c>
      <c r="J137" s="8">
        <f>Inspecciones!F137</f>
        <v/>
      </c>
      <c r="K137" s="8">
        <f>Inspecciones!G137</f>
        <v/>
      </c>
    </row>
    <row r="138">
      <c r="A138" s="7">
        <f>Inspecciones!A138</f>
        <v/>
      </c>
      <c r="B138" s="7">
        <f>Inspecciones!B138</f>
        <v/>
      </c>
      <c r="C138" s="7">
        <f>IFERROR(VLOOKUP(B138,Unidades!A:G,5,FALSE),"")</f>
        <v/>
      </c>
      <c r="D138" s="7">
        <f>IFERROR(VLOOKUP(B138,Unidades!A:G,6,FALSE),"")</f>
        <v/>
      </c>
      <c r="E138" s="7">
        <f>IFERROR(VLOOKUP(B138,Unidades!A:G,7,FALSE),"")</f>
        <v/>
      </c>
      <c r="F138" s="7">
        <f>IFERROR(VLOOKUP(B138,Unidades!A:G,2,FALSE),"")</f>
        <v/>
      </c>
      <c r="G138" s="7">
        <f>IFERROR(VLOOKUP(B138,Unidades!A:G,4,FALSE),"")</f>
        <v/>
      </c>
      <c r="H138" s="7">
        <f>Inspecciones!D138</f>
        <v/>
      </c>
      <c r="I138" s="7">
        <f>Inspecciones!E138</f>
        <v/>
      </c>
      <c r="J138" s="7">
        <f>Inspecciones!F138</f>
        <v/>
      </c>
      <c r="K138" s="7">
        <f>Inspecciones!G138</f>
        <v/>
      </c>
    </row>
    <row r="139">
      <c r="A139" s="8">
        <f>Inspecciones!A139</f>
        <v/>
      </c>
      <c r="B139" s="8">
        <f>Inspecciones!B139</f>
        <v/>
      </c>
      <c r="C139" s="8">
        <f>IFERROR(VLOOKUP(B139,Unidades!A:G,5,FALSE),"")</f>
        <v/>
      </c>
      <c r="D139" s="8">
        <f>IFERROR(VLOOKUP(B139,Unidades!A:G,6,FALSE),"")</f>
        <v/>
      </c>
      <c r="E139" s="8">
        <f>IFERROR(VLOOKUP(B139,Unidades!A:G,7,FALSE),"")</f>
        <v/>
      </c>
      <c r="F139" s="8">
        <f>IFERROR(VLOOKUP(B139,Unidades!A:G,2,FALSE),"")</f>
        <v/>
      </c>
      <c r="G139" s="8">
        <f>IFERROR(VLOOKUP(B139,Unidades!A:G,4,FALSE),"")</f>
        <v/>
      </c>
      <c r="H139" s="8">
        <f>Inspecciones!D139</f>
        <v/>
      </c>
      <c r="I139" s="8">
        <f>Inspecciones!E139</f>
        <v/>
      </c>
      <c r="J139" s="8">
        <f>Inspecciones!F139</f>
        <v/>
      </c>
      <c r="K139" s="8">
        <f>Inspecciones!G139</f>
        <v/>
      </c>
    </row>
    <row r="140">
      <c r="A140" s="7">
        <f>Inspecciones!A140</f>
        <v/>
      </c>
      <c r="B140" s="7">
        <f>Inspecciones!B140</f>
        <v/>
      </c>
      <c r="C140" s="7">
        <f>IFERROR(VLOOKUP(B140,Unidades!A:G,5,FALSE),"")</f>
        <v/>
      </c>
      <c r="D140" s="7">
        <f>IFERROR(VLOOKUP(B140,Unidades!A:G,6,FALSE),"")</f>
        <v/>
      </c>
      <c r="E140" s="7">
        <f>IFERROR(VLOOKUP(B140,Unidades!A:G,7,FALSE),"")</f>
        <v/>
      </c>
      <c r="F140" s="7">
        <f>IFERROR(VLOOKUP(B140,Unidades!A:G,2,FALSE),"")</f>
        <v/>
      </c>
      <c r="G140" s="7">
        <f>IFERROR(VLOOKUP(B140,Unidades!A:G,4,FALSE),"")</f>
        <v/>
      </c>
      <c r="H140" s="7">
        <f>Inspecciones!D140</f>
        <v/>
      </c>
      <c r="I140" s="7">
        <f>Inspecciones!E140</f>
        <v/>
      </c>
      <c r="J140" s="7">
        <f>Inspecciones!F140</f>
        <v/>
      </c>
      <c r="K140" s="7">
        <f>Inspecciones!G140</f>
        <v/>
      </c>
    </row>
    <row r="141">
      <c r="A141" s="8">
        <f>Inspecciones!A141</f>
        <v/>
      </c>
      <c r="B141" s="8">
        <f>Inspecciones!B141</f>
        <v/>
      </c>
      <c r="C141" s="8">
        <f>IFERROR(VLOOKUP(B141,Unidades!A:G,5,FALSE),"")</f>
        <v/>
      </c>
      <c r="D141" s="8">
        <f>IFERROR(VLOOKUP(B141,Unidades!A:G,6,FALSE),"")</f>
        <v/>
      </c>
      <c r="E141" s="8">
        <f>IFERROR(VLOOKUP(B141,Unidades!A:G,7,FALSE),"")</f>
        <v/>
      </c>
      <c r="F141" s="8">
        <f>IFERROR(VLOOKUP(B141,Unidades!A:G,2,FALSE),"")</f>
        <v/>
      </c>
      <c r="G141" s="8">
        <f>IFERROR(VLOOKUP(B141,Unidades!A:G,4,FALSE),"")</f>
        <v/>
      </c>
      <c r="H141" s="8">
        <f>Inspecciones!D141</f>
        <v/>
      </c>
      <c r="I141" s="8">
        <f>Inspecciones!E141</f>
        <v/>
      </c>
      <c r="J141" s="8">
        <f>Inspecciones!F141</f>
        <v/>
      </c>
      <c r="K141" s="8">
        <f>Inspecciones!G141</f>
        <v/>
      </c>
    </row>
    <row r="142">
      <c r="A142" s="7">
        <f>Inspecciones!A142</f>
        <v/>
      </c>
      <c r="B142" s="7">
        <f>Inspecciones!B142</f>
        <v/>
      </c>
      <c r="C142" s="7">
        <f>IFERROR(VLOOKUP(B142,Unidades!A:G,5,FALSE),"")</f>
        <v/>
      </c>
      <c r="D142" s="7">
        <f>IFERROR(VLOOKUP(B142,Unidades!A:G,6,FALSE),"")</f>
        <v/>
      </c>
      <c r="E142" s="7">
        <f>IFERROR(VLOOKUP(B142,Unidades!A:G,7,FALSE),"")</f>
        <v/>
      </c>
      <c r="F142" s="7">
        <f>IFERROR(VLOOKUP(B142,Unidades!A:G,2,FALSE),"")</f>
        <v/>
      </c>
      <c r="G142" s="7">
        <f>IFERROR(VLOOKUP(B142,Unidades!A:G,4,FALSE),"")</f>
        <v/>
      </c>
      <c r="H142" s="7">
        <f>Inspecciones!D142</f>
        <v/>
      </c>
      <c r="I142" s="7">
        <f>Inspecciones!E142</f>
        <v/>
      </c>
      <c r="J142" s="7">
        <f>Inspecciones!F142</f>
        <v/>
      </c>
      <c r="K142" s="7">
        <f>Inspecciones!G142</f>
        <v/>
      </c>
    </row>
    <row r="143">
      <c r="A143" s="8">
        <f>Inspecciones!A143</f>
        <v/>
      </c>
      <c r="B143" s="8">
        <f>Inspecciones!B143</f>
        <v/>
      </c>
      <c r="C143" s="8">
        <f>IFERROR(VLOOKUP(B143,Unidades!A:G,5,FALSE),"")</f>
        <v/>
      </c>
      <c r="D143" s="8">
        <f>IFERROR(VLOOKUP(B143,Unidades!A:G,6,FALSE),"")</f>
        <v/>
      </c>
      <c r="E143" s="8">
        <f>IFERROR(VLOOKUP(B143,Unidades!A:G,7,FALSE),"")</f>
        <v/>
      </c>
      <c r="F143" s="8">
        <f>IFERROR(VLOOKUP(B143,Unidades!A:G,2,FALSE),"")</f>
        <v/>
      </c>
      <c r="G143" s="8">
        <f>IFERROR(VLOOKUP(B143,Unidades!A:G,4,FALSE),"")</f>
        <v/>
      </c>
      <c r="H143" s="8">
        <f>Inspecciones!D143</f>
        <v/>
      </c>
      <c r="I143" s="8">
        <f>Inspecciones!E143</f>
        <v/>
      </c>
      <c r="J143" s="8">
        <f>Inspecciones!F143</f>
        <v/>
      </c>
      <c r="K143" s="8">
        <f>Inspecciones!G143</f>
        <v/>
      </c>
    </row>
    <row r="144">
      <c r="A144" s="7">
        <f>Inspecciones!A144</f>
        <v/>
      </c>
      <c r="B144" s="7">
        <f>Inspecciones!B144</f>
        <v/>
      </c>
      <c r="C144" s="7">
        <f>IFERROR(VLOOKUP(B144,Unidades!A:G,5,FALSE),"")</f>
        <v/>
      </c>
      <c r="D144" s="7">
        <f>IFERROR(VLOOKUP(B144,Unidades!A:G,6,FALSE),"")</f>
        <v/>
      </c>
      <c r="E144" s="7">
        <f>IFERROR(VLOOKUP(B144,Unidades!A:G,7,FALSE),"")</f>
        <v/>
      </c>
      <c r="F144" s="7">
        <f>IFERROR(VLOOKUP(B144,Unidades!A:G,2,FALSE),"")</f>
        <v/>
      </c>
      <c r="G144" s="7">
        <f>IFERROR(VLOOKUP(B144,Unidades!A:G,4,FALSE),"")</f>
        <v/>
      </c>
      <c r="H144" s="7">
        <f>Inspecciones!D144</f>
        <v/>
      </c>
      <c r="I144" s="7">
        <f>Inspecciones!E144</f>
        <v/>
      </c>
      <c r="J144" s="7">
        <f>Inspecciones!F144</f>
        <v/>
      </c>
      <c r="K144" s="7">
        <f>Inspecciones!G144</f>
        <v/>
      </c>
    </row>
    <row r="145">
      <c r="A145" s="8">
        <f>Inspecciones!A145</f>
        <v/>
      </c>
      <c r="B145" s="8">
        <f>Inspecciones!B145</f>
        <v/>
      </c>
      <c r="C145" s="8">
        <f>IFERROR(VLOOKUP(B145,Unidades!A:G,5,FALSE),"")</f>
        <v/>
      </c>
      <c r="D145" s="8">
        <f>IFERROR(VLOOKUP(B145,Unidades!A:G,6,FALSE),"")</f>
        <v/>
      </c>
      <c r="E145" s="8">
        <f>IFERROR(VLOOKUP(B145,Unidades!A:G,7,FALSE),"")</f>
        <v/>
      </c>
      <c r="F145" s="8">
        <f>IFERROR(VLOOKUP(B145,Unidades!A:G,2,FALSE),"")</f>
        <v/>
      </c>
      <c r="G145" s="8">
        <f>IFERROR(VLOOKUP(B145,Unidades!A:G,4,FALSE),"")</f>
        <v/>
      </c>
      <c r="H145" s="8">
        <f>Inspecciones!D145</f>
        <v/>
      </c>
      <c r="I145" s="8">
        <f>Inspecciones!E145</f>
        <v/>
      </c>
      <c r="J145" s="8">
        <f>Inspecciones!F145</f>
        <v/>
      </c>
      <c r="K145" s="8">
        <f>Inspecciones!G145</f>
        <v/>
      </c>
    </row>
    <row r="146">
      <c r="A146" s="7">
        <f>Inspecciones!A146</f>
        <v/>
      </c>
      <c r="B146" s="7">
        <f>Inspecciones!B146</f>
        <v/>
      </c>
      <c r="C146" s="7">
        <f>IFERROR(VLOOKUP(B146,Unidades!A:G,5,FALSE),"")</f>
        <v/>
      </c>
      <c r="D146" s="7">
        <f>IFERROR(VLOOKUP(B146,Unidades!A:G,6,FALSE),"")</f>
        <v/>
      </c>
      <c r="E146" s="7">
        <f>IFERROR(VLOOKUP(B146,Unidades!A:G,7,FALSE),"")</f>
        <v/>
      </c>
      <c r="F146" s="7">
        <f>IFERROR(VLOOKUP(B146,Unidades!A:G,2,FALSE),"")</f>
        <v/>
      </c>
      <c r="G146" s="7">
        <f>IFERROR(VLOOKUP(B146,Unidades!A:G,4,FALSE),"")</f>
        <v/>
      </c>
      <c r="H146" s="7">
        <f>Inspecciones!D146</f>
        <v/>
      </c>
      <c r="I146" s="7">
        <f>Inspecciones!E146</f>
        <v/>
      </c>
      <c r="J146" s="7">
        <f>Inspecciones!F146</f>
        <v/>
      </c>
      <c r="K146" s="7">
        <f>Inspecciones!G146</f>
        <v/>
      </c>
    </row>
    <row r="147">
      <c r="A147" s="8">
        <f>Inspecciones!A147</f>
        <v/>
      </c>
      <c r="B147" s="8">
        <f>Inspecciones!B147</f>
        <v/>
      </c>
      <c r="C147" s="8">
        <f>IFERROR(VLOOKUP(B147,Unidades!A:G,5,FALSE),"")</f>
        <v/>
      </c>
      <c r="D147" s="8">
        <f>IFERROR(VLOOKUP(B147,Unidades!A:G,6,FALSE),"")</f>
        <v/>
      </c>
      <c r="E147" s="8">
        <f>IFERROR(VLOOKUP(B147,Unidades!A:G,7,FALSE),"")</f>
        <v/>
      </c>
      <c r="F147" s="8">
        <f>IFERROR(VLOOKUP(B147,Unidades!A:G,2,FALSE),"")</f>
        <v/>
      </c>
      <c r="G147" s="8">
        <f>IFERROR(VLOOKUP(B147,Unidades!A:G,4,FALSE),"")</f>
        <v/>
      </c>
      <c r="H147" s="8">
        <f>Inspecciones!D147</f>
        <v/>
      </c>
      <c r="I147" s="8">
        <f>Inspecciones!E147</f>
        <v/>
      </c>
      <c r="J147" s="8">
        <f>Inspecciones!F147</f>
        <v/>
      </c>
      <c r="K147" s="8">
        <f>Inspecciones!G147</f>
        <v/>
      </c>
    </row>
    <row r="148">
      <c r="A148" s="7">
        <f>Inspecciones!A148</f>
        <v/>
      </c>
      <c r="B148" s="7">
        <f>Inspecciones!B148</f>
        <v/>
      </c>
      <c r="C148" s="7">
        <f>IFERROR(VLOOKUP(B148,Unidades!A:G,5,FALSE),"")</f>
        <v/>
      </c>
      <c r="D148" s="7">
        <f>IFERROR(VLOOKUP(B148,Unidades!A:G,6,FALSE),"")</f>
        <v/>
      </c>
      <c r="E148" s="7">
        <f>IFERROR(VLOOKUP(B148,Unidades!A:G,7,FALSE),"")</f>
        <v/>
      </c>
      <c r="F148" s="7">
        <f>IFERROR(VLOOKUP(B148,Unidades!A:G,2,FALSE),"")</f>
        <v/>
      </c>
      <c r="G148" s="7">
        <f>IFERROR(VLOOKUP(B148,Unidades!A:G,4,FALSE),"")</f>
        <v/>
      </c>
      <c r="H148" s="7">
        <f>Inspecciones!D148</f>
        <v/>
      </c>
      <c r="I148" s="7">
        <f>Inspecciones!E148</f>
        <v/>
      </c>
      <c r="J148" s="7">
        <f>Inspecciones!F148</f>
        <v/>
      </c>
      <c r="K148" s="7">
        <f>Inspecciones!G148</f>
        <v/>
      </c>
    </row>
    <row r="149">
      <c r="A149" s="8">
        <f>Inspecciones!A149</f>
        <v/>
      </c>
      <c r="B149" s="8">
        <f>Inspecciones!B149</f>
        <v/>
      </c>
      <c r="C149" s="8">
        <f>IFERROR(VLOOKUP(B149,Unidades!A:G,5,FALSE),"")</f>
        <v/>
      </c>
      <c r="D149" s="8">
        <f>IFERROR(VLOOKUP(B149,Unidades!A:G,6,FALSE),"")</f>
        <v/>
      </c>
      <c r="E149" s="8">
        <f>IFERROR(VLOOKUP(B149,Unidades!A:G,7,FALSE),"")</f>
        <v/>
      </c>
      <c r="F149" s="8">
        <f>IFERROR(VLOOKUP(B149,Unidades!A:G,2,FALSE),"")</f>
        <v/>
      </c>
      <c r="G149" s="8">
        <f>IFERROR(VLOOKUP(B149,Unidades!A:G,4,FALSE),"")</f>
        <v/>
      </c>
      <c r="H149" s="8">
        <f>Inspecciones!D149</f>
        <v/>
      </c>
      <c r="I149" s="8">
        <f>Inspecciones!E149</f>
        <v/>
      </c>
      <c r="J149" s="8">
        <f>Inspecciones!F149</f>
        <v/>
      </c>
      <c r="K149" s="8">
        <f>Inspecciones!G149</f>
        <v/>
      </c>
    </row>
    <row r="150">
      <c r="A150" s="7">
        <f>Inspecciones!A150</f>
        <v/>
      </c>
      <c r="B150" s="7">
        <f>Inspecciones!B150</f>
        <v/>
      </c>
      <c r="C150" s="7">
        <f>IFERROR(VLOOKUP(B150,Unidades!A:G,5,FALSE),"")</f>
        <v/>
      </c>
      <c r="D150" s="7">
        <f>IFERROR(VLOOKUP(B150,Unidades!A:G,6,FALSE),"")</f>
        <v/>
      </c>
      <c r="E150" s="7">
        <f>IFERROR(VLOOKUP(B150,Unidades!A:G,7,FALSE),"")</f>
        <v/>
      </c>
      <c r="F150" s="7">
        <f>IFERROR(VLOOKUP(B150,Unidades!A:G,2,FALSE),"")</f>
        <v/>
      </c>
      <c r="G150" s="7">
        <f>IFERROR(VLOOKUP(B150,Unidades!A:G,4,FALSE),"")</f>
        <v/>
      </c>
      <c r="H150" s="7">
        <f>Inspecciones!D150</f>
        <v/>
      </c>
      <c r="I150" s="7">
        <f>Inspecciones!E150</f>
        <v/>
      </c>
      <c r="J150" s="7">
        <f>Inspecciones!F150</f>
        <v/>
      </c>
      <c r="K150" s="7">
        <f>Inspecciones!G150</f>
        <v/>
      </c>
    </row>
    <row r="151">
      <c r="A151" s="8">
        <f>Inspecciones!A151</f>
        <v/>
      </c>
      <c r="B151" s="8">
        <f>Inspecciones!B151</f>
        <v/>
      </c>
      <c r="C151" s="8">
        <f>IFERROR(VLOOKUP(B151,Unidades!A:G,5,FALSE),"")</f>
        <v/>
      </c>
      <c r="D151" s="8">
        <f>IFERROR(VLOOKUP(B151,Unidades!A:G,6,FALSE),"")</f>
        <v/>
      </c>
      <c r="E151" s="8">
        <f>IFERROR(VLOOKUP(B151,Unidades!A:G,7,FALSE),"")</f>
        <v/>
      </c>
      <c r="F151" s="8">
        <f>IFERROR(VLOOKUP(B151,Unidades!A:G,2,FALSE),"")</f>
        <v/>
      </c>
      <c r="G151" s="8">
        <f>IFERROR(VLOOKUP(B151,Unidades!A:G,4,FALSE),"")</f>
        <v/>
      </c>
      <c r="H151" s="8">
        <f>Inspecciones!D151</f>
        <v/>
      </c>
      <c r="I151" s="8">
        <f>Inspecciones!E151</f>
        <v/>
      </c>
      <c r="J151" s="8">
        <f>Inspecciones!F151</f>
        <v/>
      </c>
      <c r="K151" s="8">
        <f>Inspecciones!G151</f>
        <v/>
      </c>
    </row>
    <row r="152">
      <c r="A152" s="7">
        <f>Inspecciones!A152</f>
        <v/>
      </c>
      <c r="B152" s="7">
        <f>Inspecciones!B152</f>
        <v/>
      </c>
      <c r="C152" s="7">
        <f>IFERROR(VLOOKUP(B152,Unidades!A:G,5,FALSE),"")</f>
        <v/>
      </c>
      <c r="D152" s="7">
        <f>IFERROR(VLOOKUP(B152,Unidades!A:G,6,FALSE),"")</f>
        <v/>
      </c>
      <c r="E152" s="7">
        <f>IFERROR(VLOOKUP(B152,Unidades!A:G,7,FALSE),"")</f>
        <v/>
      </c>
      <c r="F152" s="7">
        <f>IFERROR(VLOOKUP(B152,Unidades!A:G,2,FALSE),"")</f>
        <v/>
      </c>
      <c r="G152" s="7">
        <f>IFERROR(VLOOKUP(B152,Unidades!A:G,4,FALSE),"")</f>
        <v/>
      </c>
      <c r="H152" s="7">
        <f>Inspecciones!D152</f>
        <v/>
      </c>
      <c r="I152" s="7">
        <f>Inspecciones!E152</f>
        <v/>
      </c>
      <c r="J152" s="7">
        <f>Inspecciones!F152</f>
        <v/>
      </c>
      <c r="K152" s="7">
        <f>Inspecciones!G152</f>
        <v/>
      </c>
    </row>
    <row r="153">
      <c r="A153" s="8">
        <f>Inspecciones!A153</f>
        <v/>
      </c>
      <c r="B153" s="8">
        <f>Inspecciones!B153</f>
        <v/>
      </c>
      <c r="C153" s="8">
        <f>IFERROR(VLOOKUP(B153,Unidades!A:G,5,FALSE),"")</f>
        <v/>
      </c>
      <c r="D153" s="8">
        <f>IFERROR(VLOOKUP(B153,Unidades!A:G,6,FALSE),"")</f>
        <v/>
      </c>
      <c r="E153" s="8">
        <f>IFERROR(VLOOKUP(B153,Unidades!A:G,7,FALSE),"")</f>
        <v/>
      </c>
      <c r="F153" s="8">
        <f>IFERROR(VLOOKUP(B153,Unidades!A:G,2,FALSE),"")</f>
        <v/>
      </c>
      <c r="G153" s="8">
        <f>IFERROR(VLOOKUP(B153,Unidades!A:G,4,FALSE),"")</f>
        <v/>
      </c>
      <c r="H153" s="8">
        <f>Inspecciones!D153</f>
        <v/>
      </c>
      <c r="I153" s="8">
        <f>Inspecciones!E153</f>
        <v/>
      </c>
      <c r="J153" s="8">
        <f>Inspecciones!F153</f>
        <v/>
      </c>
      <c r="K153" s="8">
        <f>Inspecciones!G153</f>
        <v/>
      </c>
    </row>
    <row r="154">
      <c r="A154" s="7">
        <f>Inspecciones!A154</f>
        <v/>
      </c>
      <c r="B154" s="7">
        <f>Inspecciones!B154</f>
        <v/>
      </c>
      <c r="C154" s="7">
        <f>IFERROR(VLOOKUP(B154,Unidades!A:G,5,FALSE),"")</f>
        <v/>
      </c>
      <c r="D154" s="7">
        <f>IFERROR(VLOOKUP(B154,Unidades!A:G,6,FALSE),"")</f>
        <v/>
      </c>
      <c r="E154" s="7">
        <f>IFERROR(VLOOKUP(B154,Unidades!A:G,7,FALSE),"")</f>
        <v/>
      </c>
      <c r="F154" s="7">
        <f>IFERROR(VLOOKUP(B154,Unidades!A:G,2,FALSE),"")</f>
        <v/>
      </c>
      <c r="G154" s="7">
        <f>IFERROR(VLOOKUP(B154,Unidades!A:G,4,FALSE),"")</f>
        <v/>
      </c>
      <c r="H154" s="7">
        <f>Inspecciones!D154</f>
        <v/>
      </c>
      <c r="I154" s="7">
        <f>Inspecciones!E154</f>
        <v/>
      </c>
      <c r="J154" s="7">
        <f>Inspecciones!F154</f>
        <v/>
      </c>
      <c r="K154" s="7">
        <f>Inspecciones!G154</f>
        <v/>
      </c>
    </row>
    <row r="155">
      <c r="A155" s="8">
        <f>Inspecciones!A155</f>
        <v/>
      </c>
      <c r="B155" s="8">
        <f>Inspecciones!B155</f>
        <v/>
      </c>
      <c r="C155" s="8">
        <f>IFERROR(VLOOKUP(B155,Unidades!A:G,5,FALSE),"")</f>
        <v/>
      </c>
      <c r="D155" s="8">
        <f>IFERROR(VLOOKUP(B155,Unidades!A:G,6,FALSE),"")</f>
        <v/>
      </c>
      <c r="E155" s="8">
        <f>IFERROR(VLOOKUP(B155,Unidades!A:G,7,FALSE),"")</f>
        <v/>
      </c>
      <c r="F155" s="8">
        <f>IFERROR(VLOOKUP(B155,Unidades!A:G,2,FALSE),"")</f>
        <v/>
      </c>
      <c r="G155" s="8">
        <f>IFERROR(VLOOKUP(B155,Unidades!A:G,4,FALSE),"")</f>
        <v/>
      </c>
      <c r="H155" s="8">
        <f>Inspecciones!D155</f>
        <v/>
      </c>
      <c r="I155" s="8">
        <f>Inspecciones!E155</f>
        <v/>
      </c>
      <c r="J155" s="8">
        <f>Inspecciones!F155</f>
        <v/>
      </c>
      <c r="K155" s="8">
        <f>Inspecciones!G155</f>
        <v/>
      </c>
    </row>
    <row r="156">
      <c r="A156" s="7">
        <f>Inspecciones!A156</f>
        <v/>
      </c>
      <c r="B156" s="7">
        <f>Inspecciones!B156</f>
        <v/>
      </c>
      <c r="C156" s="7">
        <f>IFERROR(VLOOKUP(B156,Unidades!A:G,5,FALSE),"")</f>
        <v/>
      </c>
      <c r="D156" s="7">
        <f>IFERROR(VLOOKUP(B156,Unidades!A:G,6,FALSE),"")</f>
        <v/>
      </c>
      <c r="E156" s="7">
        <f>IFERROR(VLOOKUP(B156,Unidades!A:G,7,FALSE),"")</f>
        <v/>
      </c>
      <c r="F156" s="7">
        <f>IFERROR(VLOOKUP(B156,Unidades!A:G,2,FALSE),"")</f>
        <v/>
      </c>
      <c r="G156" s="7">
        <f>IFERROR(VLOOKUP(B156,Unidades!A:G,4,FALSE),"")</f>
        <v/>
      </c>
      <c r="H156" s="7">
        <f>Inspecciones!D156</f>
        <v/>
      </c>
      <c r="I156" s="7">
        <f>Inspecciones!E156</f>
        <v/>
      </c>
      <c r="J156" s="7">
        <f>Inspecciones!F156</f>
        <v/>
      </c>
      <c r="K156" s="7">
        <f>Inspecciones!G156</f>
        <v/>
      </c>
    </row>
    <row r="157">
      <c r="A157" s="8">
        <f>Inspecciones!A157</f>
        <v/>
      </c>
      <c r="B157" s="8">
        <f>Inspecciones!B157</f>
        <v/>
      </c>
      <c r="C157" s="8">
        <f>IFERROR(VLOOKUP(B157,Unidades!A:G,5,FALSE),"")</f>
        <v/>
      </c>
      <c r="D157" s="8">
        <f>IFERROR(VLOOKUP(B157,Unidades!A:G,6,FALSE),"")</f>
        <v/>
      </c>
      <c r="E157" s="8">
        <f>IFERROR(VLOOKUP(B157,Unidades!A:G,7,FALSE),"")</f>
        <v/>
      </c>
      <c r="F157" s="8">
        <f>IFERROR(VLOOKUP(B157,Unidades!A:G,2,FALSE),"")</f>
        <v/>
      </c>
      <c r="G157" s="8">
        <f>IFERROR(VLOOKUP(B157,Unidades!A:G,4,FALSE),"")</f>
        <v/>
      </c>
      <c r="H157" s="8">
        <f>Inspecciones!D157</f>
        <v/>
      </c>
      <c r="I157" s="8">
        <f>Inspecciones!E157</f>
        <v/>
      </c>
      <c r="J157" s="8">
        <f>Inspecciones!F157</f>
        <v/>
      </c>
      <c r="K157" s="8">
        <f>Inspecciones!G157</f>
        <v/>
      </c>
    </row>
    <row r="158">
      <c r="A158" s="7">
        <f>Inspecciones!A158</f>
        <v/>
      </c>
      <c r="B158" s="7">
        <f>Inspecciones!B158</f>
        <v/>
      </c>
      <c r="C158" s="7">
        <f>IFERROR(VLOOKUP(B158,Unidades!A:G,5,FALSE),"")</f>
        <v/>
      </c>
      <c r="D158" s="7">
        <f>IFERROR(VLOOKUP(B158,Unidades!A:G,6,FALSE),"")</f>
        <v/>
      </c>
      <c r="E158" s="7">
        <f>IFERROR(VLOOKUP(B158,Unidades!A:G,7,FALSE),"")</f>
        <v/>
      </c>
      <c r="F158" s="7">
        <f>IFERROR(VLOOKUP(B158,Unidades!A:G,2,FALSE),"")</f>
        <v/>
      </c>
      <c r="G158" s="7">
        <f>IFERROR(VLOOKUP(B158,Unidades!A:G,4,FALSE),"")</f>
        <v/>
      </c>
      <c r="H158" s="7">
        <f>Inspecciones!D158</f>
        <v/>
      </c>
      <c r="I158" s="7">
        <f>Inspecciones!E158</f>
        <v/>
      </c>
      <c r="J158" s="7">
        <f>Inspecciones!F158</f>
        <v/>
      </c>
      <c r="K158" s="7">
        <f>Inspecciones!G158</f>
        <v/>
      </c>
    </row>
    <row r="159">
      <c r="A159" s="8">
        <f>Inspecciones!A159</f>
        <v/>
      </c>
      <c r="B159" s="8">
        <f>Inspecciones!B159</f>
        <v/>
      </c>
      <c r="C159" s="8">
        <f>IFERROR(VLOOKUP(B159,Unidades!A:G,5,FALSE),"")</f>
        <v/>
      </c>
      <c r="D159" s="8">
        <f>IFERROR(VLOOKUP(B159,Unidades!A:G,6,FALSE),"")</f>
        <v/>
      </c>
      <c r="E159" s="8">
        <f>IFERROR(VLOOKUP(B159,Unidades!A:G,7,FALSE),"")</f>
        <v/>
      </c>
      <c r="F159" s="8">
        <f>IFERROR(VLOOKUP(B159,Unidades!A:G,2,FALSE),"")</f>
        <v/>
      </c>
      <c r="G159" s="8">
        <f>IFERROR(VLOOKUP(B159,Unidades!A:G,4,FALSE),"")</f>
        <v/>
      </c>
      <c r="H159" s="8">
        <f>Inspecciones!D159</f>
        <v/>
      </c>
      <c r="I159" s="8">
        <f>Inspecciones!E159</f>
        <v/>
      </c>
      <c r="J159" s="8">
        <f>Inspecciones!F159</f>
        <v/>
      </c>
      <c r="K159" s="8">
        <f>Inspecciones!G159</f>
        <v/>
      </c>
    </row>
    <row r="160">
      <c r="A160" s="7">
        <f>Inspecciones!A160</f>
        <v/>
      </c>
      <c r="B160" s="7">
        <f>Inspecciones!B160</f>
        <v/>
      </c>
      <c r="C160" s="7">
        <f>IFERROR(VLOOKUP(B160,Unidades!A:G,5,FALSE),"")</f>
        <v/>
      </c>
      <c r="D160" s="7">
        <f>IFERROR(VLOOKUP(B160,Unidades!A:G,6,FALSE),"")</f>
        <v/>
      </c>
      <c r="E160" s="7">
        <f>IFERROR(VLOOKUP(B160,Unidades!A:G,7,FALSE),"")</f>
        <v/>
      </c>
      <c r="F160" s="7">
        <f>IFERROR(VLOOKUP(B160,Unidades!A:G,2,FALSE),"")</f>
        <v/>
      </c>
      <c r="G160" s="7">
        <f>IFERROR(VLOOKUP(B160,Unidades!A:G,4,FALSE),"")</f>
        <v/>
      </c>
      <c r="H160" s="7">
        <f>Inspecciones!D160</f>
        <v/>
      </c>
      <c r="I160" s="7">
        <f>Inspecciones!E160</f>
        <v/>
      </c>
      <c r="J160" s="7">
        <f>Inspecciones!F160</f>
        <v/>
      </c>
      <c r="K160" s="7">
        <f>Inspecciones!G160</f>
        <v/>
      </c>
    </row>
    <row r="161">
      <c r="A161" s="8">
        <f>Inspecciones!A161</f>
        <v/>
      </c>
      <c r="B161" s="8">
        <f>Inspecciones!B161</f>
        <v/>
      </c>
      <c r="C161" s="8">
        <f>IFERROR(VLOOKUP(B161,Unidades!A:G,5,FALSE),"")</f>
        <v/>
      </c>
      <c r="D161" s="8">
        <f>IFERROR(VLOOKUP(B161,Unidades!A:G,6,FALSE),"")</f>
        <v/>
      </c>
      <c r="E161" s="8">
        <f>IFERROR(VLOOKUP(B161,Unidades!A:G,7,FALSE),"")</f>
        <v/>
      </c>
      <c r="F161" s="8">
        <f>IFERROR(VLOOKUP(B161,Unidades!A:G,2,FALSE),"")</f>
        <v/>
      </c>
      <c r="G161" s="8">
        <f>IFERROR(VLOOKUP(B161,Unidades!A:G,4,FALSE),"")</f>
        <v/>
      </c>
      <c r="H161" s="8">
        <f>Inspecciones!D161</f>
        <v/>
      </c>
      <c r="I161" s="8">
        <f>Inspecciones!E161</f>
        <v/>
      </c>
      <c r="J161" s="8">
        <f>Inspecciones!F161</f>
        <v/>
      </c>
      <c r="K161" s="8">
        <f>Inspecciones!G161</f>
        <v/>
      </c>
    </row>
    <row r="162">
      <c r="A162" s="7">
        <f>Inspecciones!A162</f>
        <v/>
      </c>
      <c r="B162" s="7">
        <f>Inspecciones!B162</f>
        <v/>
      </c>
      <c r="C162" s="7">
        <f>IFERROR(VLOOKUP(B162,Unidades!A:G,5,FALSE),"")</f>
        <v/>
      </c>
      <c r="D162" s="7">
        <f>IFERROR(VLOOKUP(B162,Unidades!A:G,6,FALSE),"")</f>
        <v/>
      </c>
      <c r="E162" s="7">
        <f>IFERROR(VLOOKUP(B162,Unidades!A:G,7,FALSE),"")</f>
        <v/>
      </c>
      <c r="F162" s="7">
        <f>IFERROR(VLOOKUP(B162,Unidades!A:G,2,FALSE),"")</f>
        <v/>
      </c>
      <c r="G162" s="7">
        <f>IFERROR(VLOOKUP(B162,Unidades!A:G,4,FALSE),"")</f>
        <v/>
      </c>
      <c r="H162" s="7">
        <f>Inspecciones!D162</f>
        <v/>
      </c>
      <c r="I162" s="7">
        <f>Inspecciones!E162</f>
        <v/>
      </c>
      <c r="J162" s="7">
        <f>Inspecciones!F162</f>
        <v/>
      </c>
      <c r="K162" s="7">
        <f>Inspecciones!G162</f>
        <v/>
      </c>
    </row>
    <row r="163">
      <c r="A163" s="8">
        <f>Inspecciones!A163</f>
        <v/>
      </c>
      <c r="B163" s="8">
        <f>Inspecciones!B163</f>
        <v/>
      </c>
      <c r="C163" s="8">
        <f>IFERROR(VLOOKUP(B163,Unidades!A:G,5,FALSE),"")</f>
        <v/>
      </c>
      <c r="D163" s="8">
        <f>IFERROR(VLOOKUP(B163,Unidades!A:G,6,FALSE),"")</f>
        <v/>
      </c>
      <c r="E163" s="8">
        <f>IFERROR(VLOOKUP(B163,Unidades!A:G,7,FALSE),"")</f>
        <v/>
      </c>
      <c r="F163" s="8">
        <f>IFERROR(VLOOKUP(B163,Unidades!A:G,2,FALSE),"")</f>
        <v/>
      </c>
      <c r="G163" s="8">
        <f>IFERROR(VLOOKUP(B163,Unidades!A:G,4,FALSE),"")</f>
        <v/>
      </c>
      <c r="H163" s="8">
        <f>Inspecciones!D163</f>
        <v/>
      </c>
      <c r="I163" s="8">
        <f>Inspecciones!E163</f>
        <v/>
      </c>
      <c r="J163" s="8">
        <f>Inspecciones!F163</f>
        <v/>
      </c>
      <c r="K163" s="8">
        <f>Inspecciones!G163</f>
        <v/>
      </c>
    </row>
    <row r="164">
      <c r="A164" s="7">
        <f>Inspecciones!A164</f>
        <v/>
      </c>
      <c r="B164" s="7">
        <f>Inspecciones!B164</f>
        <v/>
      </c>
      <c r="C164" s="7">
        <f>IFERROR(VLOOKUP(B164,Unidades!A:G,5,FALSE),"")</f>
        <v/>
      </c>
      <c r="D164" s="7">
        <f>IFERROR(VLOOKUP(B164,Unidades!A:G,6,FALSE),"")</f>
        <v/>
      </c>
      <c r="E164" s="7">
        <f>IFERROR(VLOOKUP(B164,Unidades!A:G,7,FALSE),"")</f>
        <v/>
      </c>
      <c r="F164" s="7">
        <f>IFERROR(VLOOKUP(B164,Unidades!A:G,2,FALSE),"")</f>
        <v/>
      </c>
      <c r="G164" s="7">
        <f>IFERROR(VLOOKUP(B164,Unidades!A:G,4,FALSE),"")</f>
        <v/>
      </c>
      <c r="H164" s="7">
        <f>Inspecciones!D164</f>
        <v/>
      </c>
      <c r="I164" s="7">
        <f>Inspecciones!E164</f>
        <v/>
      </c>
      <c r="J164" s="7">
        <f>Inspecciones!F164</f>
        <v/>
      </c>
      <c r="K164" s="7">
        <f>Inspecciones!G164</f>
        <v/>
      </c>
    </row>
    <row r="165">
      <c r="A165" s="8">
        <f>Inspecciones!A165</f>
        <v/>
      </c>
      <c r="B165" s="8">
        <f>Inspecciones!B165</f>
        <v/>
      </c>
      <c r="C165" s="8">
        <f>IFERROR(VLOOKUP(B165,Unidades!A:G,5,FALSE),"")</f>
        <v/>
      </c>
      <c r="D165" s="8">
        <f>IFERROR(VLOOKUP(B165,Unidades!A:G,6,FALSE),"")</f>
        <v/>
      </c>
      <c r="E165" s="8">
        <f>IFERROR(VLOOKUP(B165,Unidades!A:G,7,FALSE),"")</f>
        <v/>
      </c>
      <c r="F165" s="8">
        <f>IFERROR(VLOOKUP(B165,Unidades!A:G,2,FALSE),"")</f>
        <v/>
      </c>
      <c r="G165" s="8">
        <f>IFERROR(VLOOKUP(B165,Unidades!A:G,4,FALSE),"")</f>
        <v/>
      </c>
      <c r="H165" s="8">
        <f>Inspecciones!D165</f>
        <v/>
      </c>
      <c r="I165" s="8">
        <f>Inspecciones!E165</f>
        <v/>
      </c>
      <c r="J165" s="8">
        <f>Inspecciones!F165</f>
        <v/>
      </c>
      <c r="K165" s="8">
        <f>Inspecciones!G165</f>
        <v/>
      </c>
    </row>
    <row r="166">
      <c r="A166" s="7">
        <f>Inspecciones!A166</f>
        <v/>
      </c>
      <c r="B166" s="7">
        <f>Inspecciones!B166</f>
        <v/>
      </c>
      <c r="C166" s="7">
        <f>IFERROR(VLOOKUP(B166,Unidades!A:G,5,FALSE),"")</f>
        <v/>
      </c>
      <c r="D166" s="7">
        <f>IFERROR(VLOOKUP(B166,Unidades!A:G,6,FALSE),"")</f>
        <v/>
      </c>
      <c r="E166" s="7">
        <f>IFERROR(VLOOKUP(B166,Unidades!A:G,7,FALSE),"")</f>
        <v/>
      </c>
      <c r="F166" s="7">
        <f>IFERROR(VLOOKUP(B166,Unidades!A:G,2,FALSE),"")</f>
        <v/>
      </c>
      <c r="G166" s="7">
        <f>IFERROR(VLOOKUP(B166,Unidades!A:G,4,FALSE),"")</f>
        <v/>
      </c>
      <c r="H166" s="7">
        <f>Inspecciones!D166</f>
        <v/>
      </c>
      <c r="I166" s="7">
        <f>Inspecciones!E166</f>
        <v/>
      </c>
      <c r="J166" s="7">
        <f>Inspecciones!F166</f>
        <v/>
      </c>
      <c r="K166" s="7">
        <f>Inspecciones!G166</f>
        <v/>
      </c>
    </row>
    <row r="167">
      <c r="A167" s="8">
        <f>Inspecciones!A167</f>
        <v/>
      </c>
      <c r="B167" s="8">
        <f>Inspecciones!B167</f>
        <v/>
      </c>
      <c r="C167" s="8">
        <f>IFERROR(VLOOKUP(B167,Unidades!A:G,5,FALSE),"")</f>
        <v/>
      </c>
      <c r="D167" s="8">
        <f>IFERROR(VLOOKUP(B167,Unidades!A:G,6,FALSE),"")</f>
        <v/>
      </c>
      <c r="E167" s="8">
        <f>IFERROR(VLOOKUP(B167,Unidades!A:G,7,FALSE),"")</f>
        <v/>
      </c>
      <c r="F167" s="8">
        <f>IFERROR(VLOOKUP(B167,Unidades!A:G,2,FALSE),"")</f>
        <v/>
      </c>
      <c r="G167" s="8">
        <f>IFERROR(VLOOKUP(B167,Unidades!A:G,4,FALSE),"")</f>
        <v/>
      </c>
      <c r="H167" s="8">
        <f>Inspecciones!D167</f>
        <v/>
      </c>
      <c r="I167" s="8">
        <f>Inspecciones!E167</f>
        <v/>
      </c>
      <c r="J167" s="8">
        <f>Inspecciones!F167</f>
        <v/>
      </c>
      <c r="K167" s="8">
        <f>Inspecciones!G167</f>
        <v/>
      </c>
    </row>
    <row r="168">
      <c r="A168" s="7">
        <f>Inspecciones!A168</f>
        <v/>
      </c>
      <c r="B168" s="7">
        <f>Inspecciones!B168</f>
        <v/>
      </c>
      <c r="C168" s="7">
        <f>IFERROR(VLOOKUP(B168,Unidades!A:G,5,FALSE),"")</f>
        <v/>
      </c>
      <c r="D168" s="7">
        <f>IFERROR(VLOOKUP(B168,Unidades!A:G,6,FALSE),"")</f>
        <v/>
      </c>
      <c r="E168" s="7">
        <f>IFERROR(VLOOKUP(B168,Unidades!A:G,7,FALSE),"")</f>
        <v/>
      </c>
      <c r="F168" s="7">
        <f>IFERROR(VLOOKUP(B168,Unidades!A:G,2,FALSE),"")</f>
        <v/>
      </c>
      <c r="G168" s="7">
        <f>IFERROR(VLOOKUP(B168,Unidades!A:G,4,FALSE),"")</f>
        <v/>
      </c>
      <c r="H168" s="7">
        <f>Inspecciones!D168</f>
        <v/>
      </c>
      <c r="I168" s="7">
        <f>Inspecciones!E168</f>
        <v/>
      </c>
      <c r="J168" s="7">
        <f>Inspecciones!F168</f>
        <v/>
      </c>
      <c r="K168" s="7">
        <f>Inspecciones!G168</f>
        <v/>
      </c>
    </row>
    <row r="169">
      <c r="A169" s="8">
        <f>Inspecciones!A169</f>
        <v/>
      </c>
      <c r="B169" s="8">
        <f>Inspecciones!B169</f>
        <v/>
      </c>
      <c r="C169" s="8">
        <f>IFERROR(VLOOKUP(B169,Unidades!A:G,5,FALSE),"")</f>
        <v/>
      </c>
      <c r="D169" s="8">
        <f>IFERROR(VLOOKUP(B169,Unidades!A:G,6,FALSE),"")</f>
        <v/>
      </c>
      <c r="E169" s="8">
        <f>IFERROR(VLOOKUP(B169,Unidades!A:G,7,FALSE),"")</f>
        <v/>
      </c>
      <c r="F169" s="8">
        <f>IFERROR(VLOOKUP(B169,Unidades!A:G,2,FALSE),"")</f>
        <v/>
      </c>
      <c r="G169" s="8">
        <f>IFERROR(VLOOKUP(B169,Unidades!A:G,4,FALSE),"")</f>
        <v/>
      </c>
      <c r="H169" s="8">
        <f>Inspecciones!D169</f>
        <v/>
      </c>
      <c r="I169" s="8">
        <f>Inspecciones!E169</f>
        <v/>
      </c>
      <c r="J169" s="8">
        <f>Inspecciones!F169</f>
        <v/>
      </c>
      <c r="K169" s="8">
        <f>Inspecciones!G169</f>
        <v/>
      </c>
    </row>
    <row r="170">
      <c r="A170" s="7">
        <f>Inspecciones!A170</f>
        <v/>
      </c>
      <c r="B170" s="7">
        <f>Inspecciones!B170</f>
        <v/>
      </c>
      <c r="C170" s="7">
        <f>IFERROR(VLOOKUP(B170,Unidades!A:G,5,FALSE),"")</f>
        <v/>
      </c>
      <c r="D170" s="7">
        <f>IFERROR(VLOOKUP(B170,Unidades!A:G,6,FALSE),"")</f>
        <v/>
      </c>
      <c r="E170" s="7">
        <f>IFERROR(VLOOKUP(B170,Unidades!A:G,7,FALSE),"")</f>
        <v/>
      </c>
      <c r="F170" s="7">
        <f>IFERROR(VLOOKUP(B170,Unidades!A:G,2,FALSE),"")</f>
        <v/>
      </c>
      <c r="G170" s="7">
        <f>IFERROR(VLOOKUP(B170,Unidades!A:G,4,FALSE),"")</f>
        <v/>
      </c>
      <c r="H170" s="7">
        <f>Inspecciones!D170</f>
        <v/>
      </c>
      <c r="I170" s="7">
        <f>Inspecciones!E170</f>
        <v/>
      </c>
      <c r="J170" s="7">
        <f>Inspecciones!F170</f>
        <v/>
      </c>
      <c r="K170" s="7">
        <f>Inspecciones!G170</f>
        <v/>
      </c>
    </row>
    <row r="171">
      <c r="A171" s="8">
        <f>Inspecciones!A171</f>
        <v/>
      </c>
      <c r="B171" s="8">
        <f>Inspecciones!B171</f>
        <v/>
      </c>
      <c r="C171" s="8">
        <f>IFERROR(VLOOKUP(B171,Unidades!A:G,5,FALSE),"")</f>
        <v/>
      </c>
      <c r="D171" s="8">
        <f>IFERROR(VLOOKUP(B171,Unidades!A:G,6,FALSE),"")</f>
        <v/>
      </c>
      <c r="E171" s="8">
        <f>IFERROR(VLOOKUP(B171,Unidades!A:G,7,FALSE),"")</f>
        <v/>
      </c>
      <c r="F171" s="8">
        <f>IFERROR(VLOOKUP(B171,Unidades!A:G,2,FALSE),"")</f>
        <v/>
      </c>
      <c r="G171" s="8">
        <f>IFERROR(VLOOKUP(B171,Unidades!A:G,4,FALSE),"")</f>
        <v/>
      </c>
      <c r="H171" s="8">
        <f>Inspecciones!D171</f>
        <v/>
      </c>
      <c r="I171" s="8">
        <f>Inspecciones!E171</f>
        <v/>
      </c>
      <c r="J171" s="8">
        <f>Inspecciones!F171</f>
        <v/>
      </c>
      <c r="K171" s="8">
        <f>Inspecciones!G171</f>
        <v/>
      </c>
    </row>
    <row r="172">
      <c r="A172" s="7">
        <f>Inspecciones!A172</f>
        <v/>
      </c>
      <c r="B172" s="7">
        <f>Inspecciones!B172</f>
        <v/>
      </c>
      <c r="C172" s="7">
        <f>IFERROR(VLOOKUP(B172,Unidades!A:G,5,FALSE),"")</f>
        <v/>
      </c>
      <c r="D172" s="7">
        <f>IFERROR(VLOOKUP(B172,Unidades!A:G,6,FALSE),"")</f>
        <v/>
      </c>
      <c r="E172" s="7">
        <f>IFERROR(VLOOKUP(B172,Unidades!A:G,7,FALSE),"")</f>
        <v/>
      </c>
      <c r="F172" s="7">
        <f>IFERROR(VLOOKUP(B172,Unidades!A:G,2,FALSE),"")</f>
        <v/>
      </c>
      <c r="G172" s="7">
        <f>IFERROR(VLOOKUP(B172,Unidades!A:G,4,FALSE),"")</f>
        <v/>
      </c>
      <c r="H172" s="7">
        <f>Inspecciones!D172</f>
        <v/>
      </c>
      <c r="I172" s="7">
        <f>Inspecciones!E172</f>
        <v/>
      </c>
      <c r="J172" s="7">
        <f>Inspecciones!F172</f>
        <v/>
      </c>
      <c r="K172" s="7">
        <f>Inspecciones!G172</f>
        <v/>
      </c>
    </row>
    <row r="173">
      <c r="A173" s="8">
        <f>Inspecciones!A173</f>
        <v/>
      </c>
      <c r="B173" s="8">
        <f>Inspecciones!B173</f>
        <v/>
      </c>
      <c r="C173" s="8">
        <f>IFERROR(VLOOKUP(B173,Unidades!A:G,5,FALSE),"")</f>
        <v/>
      </c>
      <c r="D173" s="8">
        <f>IFERROR(VLOOKUP(B173,Unidades!A:G,6,FALSE),"")</f>
        <v/>
      </c>
      <c r="E173" s="8">
        <f>IFERROR(VLOOKUP(B173,Unidades!A:G,7,FALSE),"")</f>
        <v/>
      </c>
      <c r="F173" s="8">
        <f>IFERROR(VLOOKUP(B173,Unidades!A:G,2,FALSE),"")</f>
        <v/>
      </c>
      <c r="G173" s="8">
        <f>IFERROR(VLOOKUP(B173,Unidades!A:G,4,FALSE),"")</f>
        <v/>
      </c>
      <c r="H173" s="8">
        <f>Inspecciones!D173</f>
        <v/>
      </c>
      <c r="I173" s="8">
        <f>Inspecciones!E173</f>
        <v/>
      </c>
      <c r="J173" s="8">
        <f>Inspecciones!F173</f>
        <v/>
      </c>
      <c r="K173" s="8">
        <f>Inspecciones!G173</f>
        <v/>
      </c>
    </row>
    <row r="174">
      <c r="A174" s="7">
        <f>Inspecciones!A174</f>
        <v/>
      </c>
      <c r="B174" s="7">
        <f>Inspecciones!B174</f>
        <v/>
      </c>
      <c r="C174" s="7">
        <f>IFERROR(VLOOKUP(B174,Unidades!A:G,5,FALSE),"")</f>
        <v/>
      </c>
      <c r="D174" s="7">
        <f>IFERROR(VLOOKUP(B174,Unidades!A:G,6,FALSE),"")</f>
        <v/>
      </c>
      <c r="E174" s="7">
        <f>IFERROR(VLOOKUP(B174,Unidades!A:G,7,FALSE),"")</f>
        <v/>
      </c>
      <c r="F174" s="7">
        <f>IFERROR(VLOOKUP(B174,Unidades!A:G,2,FALSE),"")</f>
        <v/>
      </c>
      <c r="G174" s="7">
        <f>IFERROR(VLOOKUP(B174,Unidades!A:G,4,FALSE),"")</f>
        <v/>
      </c>
      <c r="H174" s="7">
        <f>Inspecciones!D174</f>
        <v/>
      </c>
      <c r="I174" s="7">
        <f>Inspecciones!E174</f>
        <v/>
      </c>
      <c r="J174" s="7">
        <f>Inspecciones!F174</f>
        <v/>
      </c>
      <c r="K174" s="7">
        <f>Inspecciones!G174</f>
        <v/>
      </c>
    </row>
    <row r="175">
      <c r="A175" s="8">
        <f>Inspecciones!A175</f>
        <v/>
      </c>
      <c r="B175" s="8">
        <f>Inspecciones!B175</f>
        <v/>
      </c>
      <c r="C175" s="8">
        <f>IFERROR(VLOOKUP(B175,Unidades!A:G,5,FALSE),"")</f>
        <v/>
      </c>
      <c r="D175" s="8">
        <f>IFERROR(VLOOKUP(B175,Unidades!A:G,6,FALSE),"")</f>
        <v/>
      </c>
      <c r="E175" s="8">
        <f>IFERROR(VLOOKUP(B175,Unidades!A:G,7,FALSE),"")</f>
        <v/>
      </c>
      <c r="F175" s="8">
        <f>IFERROR(VLOOKUP(B175,Unidades!A:G,2,FALSE),"")</f>
        <v/>
      </c>
      <c r="G175" s="8">
        <f>IFERROR(VLOOKUP(B175,Unidades!A:G,4,FALSE),"")</f>
        <v/>
      </c>
      <c r="H175" s="8">
        <f>Inspecciones!D175</f>
        <v/>
      </c>
      <c r="I175" s="8">
        <f>Inspecciones!E175</f>
        <v/>
      </c>
      <c r="J175" s="8">
        <f>Inspecciones!F175</f>
        <v/>
      </c>
      <c r="K175" s="8">
        <f>Inspecciones!G175</f>
        <v/>
      </c>
    </row>
    <row r="176">
      <c r="A176" s="7">
        <f>Inspecciones!A176</f>
        <v/>
      </c>
      <c r="B176" s="7">
        <f>Inspecciones!B176</f>
        <v/>
      </c>
      <c r="C176" s="7">
        <f>IFERROR(VLOOKUP(B176,Unidades!A:G,5,FALSE),"")</f>
        <v/>
      </c>
      <c r="D176" s="7">
        <f>IFERROR(VLOOKUP(B176,Unidades!A:G,6,FALSE),"")</f>
        <v/>
      </c>
      <c r="E176" s="7">
        <f>IFERROR(VLOOKUP(B176,Unidades!A:G,7,FALSE),"")</f>
        <v/>
      </c>
      <c r="F176" s="7">
        <f>IFERROR(VLOOKUP(B176,Unidades!A:G,2,FALSE),"")</f>
        <v/>
      </c>
      <c r="G176" s="7">
        <f>IFERROR(VLOOKUP(B176,Unidades!A:G,4,FALSE),"")</f>
        <v/>
      </c>
      <c r="H176" s="7">
        <f>Inspecciones!D176</f>
        <v/>
      </c>
      <c r="I176" s="7">
        <f>Inspecciones!E176</f>
        <v/>
      </c>
      <c r="J176" s="7">
        <f>Inspecciones!F176</f>
        <v/>
      </c>
      <c r="K176" s="7">
        <f>Inspecciones!G176</f>
        <v/>
      </c>
    </row>
    <row r="177">
      <c r="A177" s="8">
        <f>Inspecciones!A177</f>
        <v/>
      </c>
      <c r="B177" s="8">
        <f>Inspecciones!B177</f>
        <v/>
      </c>
      <c r="C177" s="8">
        <f>IFERROR(VLOOKUP(B177,Unidades!A:G,5,FALSE),"")</f>
        <v/>
      </c>
      <c r="D177" s="8">
        <f>IFERROR(VLOOKUP(B177,Unidades!A:G,6,FALSE),"")</f>
        <v/>
      </c>
      <c r="E177" s="8">
        <f>IFERROR(VLOOKUP(B177,Unidades!A:G,7,FALSE),"")</f>
        <v/>
      </c>
      <c r="F177" s="8">
        <f>IFERROR(VLOOKUP(B177,Unidades!A:G,2,FALSE),"")</f>
        <v/>
      </c>
      <c r="G177" s="8">
        <f>IFERROR(VLOOKUP(B177,Unidades!A:G,4,FALSE),"")</f>
        <v/>
      </c>
      <c r="H177" s="8">
        <f>Inspecciones!D177</f>
        <v/>
      </c>
      <c r="I177" s="8">
        <f>Inspecciones!E177</f>
        <v/>
      </c>
      <c r="J177" s="8">
        <f>Inspecciones!F177</f>
        <v/>
      </c>
      <c r="K177" s="8">
        <f>Inspecciones!G177</f>
        <v/>
      </c>
    </row>
    <row r="178">
      <c r="A178" s="7">
        <f>Inspecciones!A178</f>
        <v/>
      </c>
      <c r="B178" s="7">
        <f>Inspecciones!B178</f>
        <v/>
      </c>
      <c r="C178" s="7">
        <f>IFERROR(VLOOKUP(B178,Unidades!A:G,5,FALSE),"")</f>
        <v/>
      </c>
      <c r="D178" s="7">
        <f>IFERROR(VLOOKUP(B178,Unidades!A:G,6,FALSE),"")</f>
        <v/>
      </c>
      <c r="E178" s="7">
        <f>IFERROR(VLOOKUP(B178,Unidades!A:G,7,FALSE),"")</f>
        <v/>
      </c>
      <c r="F178" s="7">
        <f>IFERROR(VLOOKUP(B178,Unidades!A:G,2,FALSE),"")</f>
        <v/>
      </c>
      <c r="G178" s="7">
        <f>IFERROR(VLOOKUP(B178,Unidades!A:G,4,FALSE),"")</f>
        <v/>
      </c>
      <c r="H178" s="7">
        <f>Inspecciones!D178</f>
        <v/>
      </c>
      <c r="I178" s="7">
        <f>Inspecciones!E178</f>
        <v/>
      </c>
      <c r="J178" s="7">
        <f>Inspecciones!F178</f>
        <v/>
      </c>
      <c r="K178" s="7">
        <f>Inspecciones!G178</f>
        <v/>
      </c>
    </row>
    <row r="179">
      <c r="A179" s="8">
        <f>Inspecciones!A179</f>
        <v/>
      </c>
      <c r="B179" s="8">
        <f>Inspecciones!B179</f>
        <v/>
      </c>
      <c r="C179" s="8">
        <f>IFERROR(VLOOKUP(B179,Unidades!A:G,5,FALSE),"")</f>
        <v/>
      </c>
      <c r="D179" s="8">
        <f>IFERROR(VLOOKUP(B179,Unidades!A:G,6,FALSE),"")</f>
        <v/>
      </c>
      <c r="E179" s="8">
        <f>IFERROR(VLOOKUP(B179,Unidades!A:G,7,FALSE),"")</f>
        <v/>
      </c>
      <c r="F179" s="8">
        <f>IFERROR(VLOOKUP(B179,Unidades!A:G,2,FALSE),"")</f>
        <v/>
      </c>
      <c r="G179" s="8">
        <f>IFERROR(VLOOKUP(B179,Unidades!A:G,4,FALSE),"")</f>
        <v/>
      </c>
      <c r="H179" s="8">
        <f>Inspecciones!D179</f>
        <v/>
      </c>
      <c r="I179" s="8">
        <f>Inspecciones!E179</f>
        <v/>
      </c>
      <c r="J179" s="8">
        <f>Inspecciones!F179</f>
        <v/>
      </c>
      <c r="K179" s="8">
        <f>Inspecciones!G179</f>
        <v/>
      </c>
    </row>
    <row r="180">
      <c r="A180" s="7">
        <f>Inspecciones!A180</f>
        <v/>
      </c>
      <c r="B180" s="7">
        <f>Inspecciones!B180</f>
        <v/>
      </c>
      <c r="C180" s="7">
        <f>IFERROR(VLOOKUP(B180,Unidades!A:G,5,FALSE),"")</f>
        <v/>
      </c>
      <c r="D180" s="7">
        <f>IFERROR(VLOOKUP(B180,Unidades!A:G,6,FALSE),"")</f>
        <v/>
      </c>
      <c r="E180" s="7">
        <f>IFERROR(VLOOKUP(B180,Unidades!A:G,7,FALSE),"")</f>
        <v/>
      </c>
      <c r="F180" s="7">
        <f>IFERROR(VLOOKUP(B180,Unidades!A:G,2,FALSE),"")</f>
        <v/>
      </c>
      <c r="G180" s="7">
        <f>IFERROR(VLOOKUP(B180,Unidades!A:G,4,FALSE),"")</f>
        <v/>
      </c>
      <c r="H180" s="7">
        <f>Inspecciones!D180</f>
        <v/>
      </c>
      <c r="I180" s="7">
        <f>Inspecciones!E180</f>
        <v/>
      </c>
      <c r="J180" s="7">
        <f>Inspecciones!F180</f>
        <v/>
      </c>
      <c r="K180" s="7">
        <f>Inspecciones!G180</f>
        <v/>
      </c>
    </row>
    <row r="181">
      <c r="A181" s="8">
        <f>Inspecciones!A181</f>
        <v/>
      </c>
      <c r="B181" s="8">
        <f>Inspecciones!B181</f>
        <v/>
      </c>
      <c r="C181" s="8">
        <f>IFERROR(VLOOKUP(B181,Unidades!A:G,5,FALSE),"")</f>
        <v/>
      </c>
      <c r="D181" s="8">
        <f>IFERROR(VLOOKUP(B181,Unidades!A:G,6,FALSE),"")</f>
        <v/>
      </c>
      <c r="E181" s="8">
        <f>IFERROR(VLOOKUP(B181,Unidades!A:G,7,FALSE),"")</f>
        <v/>
      </c>
      <c r="F181" s="8">
        <f>IFERROR(VLOOKUP(B181,Unidades!A:G,2,FALSE),"")</f>
        <v/>
      </c>
      <c r="G181" s="8">
        <f>IFERROR(VLOOKUP(B181,Unidades!A:G,4,FALSE),"")</f>
        <v/>
      </c>
      <c r="H181" s="8">
        <f>Inspecciones!D181</f>
        <v/>
      </c>
      <c r="I181" s="8">
        <f>Inspecciones!E181</f>
        <v/>
      </c>
      <c r="J181" s="8">
        <f>Inspecciones!F181</f>
        <v/>
      </c>
      <c r="K181" s="8">
        <f>Inspecciones!G181</f>
        <v/>
      </c>
    </row>
    <row r="182">
      <c r="A182" s="7">
        <f>Inspecciones!A182</f>
        <v/>
      </c>
      <c r="B182" s="7">
        <f>Inspecciones!B182</f>
        <v/>
      </c>
      <c r="C182" s="7">
        <f>IFERROR(VLOOKUP(B182,Unidades!A:G,5,FALSE),"")</f>
        <v/>
      </c>
      <c r="D182" s="7">
        <f>IFERROR(VLOOKUP(B182,Unidades!A:G,6,FALSE),"")</f>
        <v/>
      </c>
      <c r="E182" s="7">
        <f>IFERROR(VLOOKUP(B182,Unidades!A:G,7,FALSE),"")</f>
        <v/>
      </c>
      <c r="F182" s="7">
        <f>IFERROR(VLOOKUP(B182,Unidades!A:G,2,FALSE),"")</f>
        <v/>
      </c>
      <c r="G182" s="7">
        <f>IFERROR(VLOOKUP(B182,Unidades!A:G,4,FALSE),"")</f>
        <v/>
      </c>
      <c r="H182" s="7">
        <f>Inspecciones!D182</f>
        <v/>
      </c>
      <c r="I182" s="7">
        <f>Inspecciones!E182</f>
        <v/>
      </c>
      <c r="J182" s="7">
        <f>Inspecciones!F182</f>
        <v/>
      </c>
      <c r="K182" s="7">
        <f>Inspecciones!G182</f>
        <v/>
      </c>
    </row>
    <row r="183">
      <c r="A183" s="8">
        <f>Inspecciones!A183</f>
        <v/>
      </c>
      <c r="B183" s="8">
        <f>Inspecciones!B183</f>
        <v/>
      </c>
      <c r="C183" s="8">
        <f>IFERROR(VLOOKUP(B183,Unidades!A:G,5,FALSE),"")</f>
        <v/>
      </c>
      <c r="D183" s="8">
        <f>IFERROR(VLOOKUP(B183,Unidades!A:G,6,FALSE),"")</f>
        <v/>
      </c>
      <c r="E183" s="8">
        <f>IFERROR(VLOOKUP(B183,Unidades!A:G,7,FALSE),"")</f>
        <v/>
      </c>
      <c r="F183" s="8">
        <f>IFERROR(VLOOKUP(B183,Unidades!A:G,2,FALSE),"")</f>
        <v/>
      </c>
      <c r="G183" s="8">
        <f>IFERROR(VLOOKUP(B183,Unidades!A:G,4,FALSE),"")</f>
        <v/>
      </c>
      <c r="H183" s="8">
        <f>Inspecciones!D183</f>
        <v/>
      </c>
      <c r="I183" s="8">
        <f>Inspecciones!E183</f>
        <v/>
      </c>
      <c r="J183" s="8">
        <f>Inspecciones!F183</f>
        <v/>
      </c>
      <c r="K183" s="8">
        <f>Inspecciones!G183</f>
        <v/>
      </c>
    </row>
    <row r="184">
      <c r="A184" s="7">
        <f>Inspecciones!A184</f>
        <v/>
      </c>
      <c r="B184" s="7">
        <f>Inspecciones!B184</f>
        <v/>
      </c>
      <c r="C184" s="7">
        <f>IFERROR(VLOOKUP(B184,Unidades!A:G,5,FALSE),"")</f>
        <v/>
      </c>
      <c r="D184" s="7">
        <f>IFERROR(VLOOKUP(B184,Unidades!A:G,6,FALSE),"")</f>
        <v/>
      </c>
      <c r="E184" s="7">
        <f>IFERROR(VLOOKUP(B184,Unidades!A:G,7,FALSE),"")</f>
        <v/>
      </c>
      <c r="F184" s="7">
        <f>IFERROR(VLOOKUP(B184,Unidades!A:G,2,FALSE),"")</f>
        <v/>
      </c>
      <c r="G184" s="7">
        <f>IFERROR(VLOOKUP(B184,Unidades!A:G,4,FALSE),"")</f>
        <v/>
      </c>
      <c r="H184" s="7">
        <f>Inspecciones!D184</f>
        <v/>
      </c>
      <c r="I184" s="7">
        <f>Inspecciones!E184</f>
        <v/>
      </c>
      <c r="J184" s="7">
        <f>Inspecciones!F184</f>
        <v/>
      </c>
      <c r="K184" s="7">
        <f>Inspecciones!G184</f>
        <v/>
      </c>
    </row>
    <row r="185">
      <c r="A185" s="8">
        <f>Inspecciones!A185</f>
        <v/>
      </c>
      <c r="B185" s="8">
        <f>Inspecciones!B185</f>
        <v/>
      </c>
      <c r="C185" s="8">
        <f>IFERROR(VLOOKUP(B185,Unidades!A:G,5,FALSE),"")</f>
        <v/>
      </c>
      <c r="D185" s="8">
        <f>IFERROR(VLOOKUP(B185,Unidades!A:G,6,FALSE),"")</f>
        <v/>
      </c>
      <c r="E185" s="8">
        <f>IFERROR(VLOOKUP(B185,Unidades!A:G,7,FALSE),"")</f>
        <v/>
      </c>
      <c r="F185" s="8">
        <f>IFERROR(VLOOKUP(B185,Unidades!A:G,2,FALSE),"")</f>
        <v/>
      </c>
      <c r="G185" s="8">
        <f>IFERROR(VLOOKUP(B185,Unidades!A:G,4,FALSE),"")</f>
        <v/>
      </c>
      <c r="H185" s="8">
        <f>Inspecciones!D185</f>
        <v/>
      </c>
      <c r="I185" s="8">
        <f>Inspecciones!E185</f>
        <v/>
      </c>
      <c r="J185" s="8">
        <f>Inspecciones!F185</f>
        <v/>
      </c>
      <c r="K185" s="8">
        <f>Inspecciones!G185</f>
        <v/>
      </c>
    </row>
    <row r="186">
      <c r="A186" s="7">
        <f>Inspecciones!A186</f>
        <v/>
      </c>
      <c r="B186" s="7">
        <f>Inspecciones!B186</f>
        <v/>
      </c>
      <c r="C186" s="7">
        <f>IFERROR(VLOOKUP(B186,Unidades!A:G,5,FALSE),"")</f>
        <v/>
      </c>
      <c r="D186" s="7">
        <f>IFERROR(VLOOKUP(B186,Unidades!A:G,6,FALSE),"")</f>
        <v/>
      </c>
      <c r="E186" s="7">
        <f>IFERROR(VLOOKUP(B186,Unidades!A:G,7,FALSE),"")</f>
        <v/>
      </c>
      <c r="F186" s="7">
        <f>IFERROR(VLOOKUP(B186,Unidades!A:G,2,FALSE),"")</f>
        <v/>
      </c>
      <c r="G186" s="7">
        <f>IFERROR(VLOOKUP(B186,Unidades!A:G,4,FALSE),"")</f>
        <v/>
      </c>
      <c r="H186" s="7">
        <f>Inspecciones!D186</f>
        <v/>
      </c>
      <c r="I186" s="7">
        <f>Inspecciones!E186</f>
        <v/>
      </c>
      <c r="J186" s="7">
        <f>Inspecciones!F186</f>
        <v/>
      </c>
      <c r="K186" s="7">
        <f>Inspecciones!G186</f>
        <v/>
      </c>
    </row>
    <row r="187">
      <c r="A187" s="8">
        <f>Inspecciones!A187</f>
        <v/>
      </c>
      <c r="B187" s="8">
        <f>Inspecciones!B187</f>
        <v/>
      </c>
      <c r="C187" s="8">
        <f>IFERROR(VLOOKUP(B187,Unidades!A:G,5,FALSE),"")</f>
        <v/>
      </c>
      <c r="D187" s="8">
        <f>IFERROR(VLOOKUP(B187,Unidades!A:G,6,FALSE),"")</f>
        <v/>
      </c>
      <c r="E187" s="8">
        <f>IFERROR(VLOOKUP(B187,Unidades!A:G,7,FALSE),"")</f>
        <v/>
      </c>
      <c r="F187" s="8">
        <f>IFERROR(VLOOKUP(B187,Unidades!A:G,2,FALSE),"")</f>
        <v/>
      </c>
      <c r="G187" s="8">
        <f>IFERROR(VLOOKUP(B187,Unidades!A:G,4,FALSE),"")</f>
        <v/>
      </c>
      <c r="H187" s="8">
        <f>Inspecciones!D187</f>
        <v/>
      </c>
      <c r="I187" s="8">
        <f>Inspecciones!E187</f>
        <v/>
      </c>
      <c r="J187" s="8">
        <f>Inspecciones!F187</f>
        <v/>
      </c>
      <c r="K187" s="8">
        <f>Inspecciones!G187</f>
        <v/>
      </c>
    </row>
    <row r="188">
      <c r="A188" s="7">
        <f>Inspecciones!A188</f>
        <v/>
      </c>
      <c r="B188" s="7">
        <f>Inspecciones!B188</f>
        <v/>
      </c>
      <c r="C188" s="7">
        <f>IFERROR(VLOOKUP(B188,Unidades!A:G,5,FALSE),"")</f>
        <v/>
      </c>
      <c r="D188" s="7">
        <f>IFERROR(VLOOKUP(B188,Unidades!A:G,6,FALSE),"")</f>
        <v/>
      </c>
      <c r="E188" s="7">
        <f>IFERROR(VLOOKUP(B188,Unidades!A:G,7,FALSE),"")</f>
        <v/>
      </c>
      <c r="F188" s="7">
        <f>IFERROR(VLOOKUP(B188,Unidades!A:G,2,FALSE),"")</f>
        <v/>
      </c>
      <c r="G188" s="7">
        <f>IFERROR(VLOOKUP(B188,Unidades!A:G,4,FALSE),"")</f>
        <v/>
      </c>
      <c r="H188" s="7">
        <f>Inspecciones!D188</f>
        <v/>
      </c>
      <c r="I188" s="7">
        <f>Inspecciones!E188</f>
        <v/>
      </c>
      <c r="J188" s="7">
        <f>Inspecciones!F188</f>
        <v/>
      </c>
      <c r="K188" s="7">
        <f>Inspecciones!G188</f>
        <v/>
      </c>
    </row>
    <row r="189">
      <c r="A189" s="8">
        <f>Inspecciones!A189</f>
        <v/>
      </c>
      <c r="B189" s="8">
        <f>Inspecciones!B189</f>
        <v/>
      </c>
      <c r="C189" s="8">
        <f>IFERROR(VLOOKUP(B189,Unidades!A:G,5,FALSE),"")</f>
        <v/>
      </c>
      <c r="D189" s="8">
        <f>IFERROR(VLOOKUP(B189,Unidades!A:G,6,FALSE),"")</f>
        <v/>
      </c>
      <c r="E189" s="8">
        <f>IFERROR(VLOOKUP(B189,Unidades!A:G,7,FALSE),"")</f>
        <v/>
      </c>
      <c r="F189" s="8">
        <f>IFERROR(VLOOKUP(B189,Unidades!A:G,2,FALSE),"")</f>
        <v/>
      </c>
      <c r="G189" s="8">
        <f>IFERROR(VLOOKUP(B189,Unidades!A:G,4,FALSE),"")</f>
        <v/>
      </c>
      <c r="H189" s="8">
        <f>Inspecciones!D189</f>
        <v/>
      </c>
      <c r="I189" s="8">
        <f>Inspecciones!E189</f>
        <v/>
      </c>
      <c r="J189" s="8">
        <f>Inspecciones!F189</f>
        <v/>
      </c>
      <c r="K189" s="8">
        <f>Inspecciones!G189</f>
        <v/>
      </c>
    </row>
    <row r="190">
      <c r="A190" s="7">
        <f>Inspecciones!A190</f>
        <v/>
      </c>
      <c r="B190" s="7">
        <f>Inspecciones!B190</f>
        <v/>
      </c>
      <c r="C190" s="7">
        <f>IFERROR(VLOOKUP(B190,Unidades!A:G,5,FALSE),"")</f>
        <v/>
      </c>
      <c r="D190" s="7">
        <f>IFERROR(VLOOKUP(B190,Unidades!A:G,6,FALSE),"")</f>
        <v/>
      </c>
      <c r="E190" s="7">
        <f>IFERROR(VLOOKUP(B190,Unidades!A:G,7,FALSE),"")</f>
        <v/>
      </c>
      <c r="F190" s="7">
        <f>IFERROR(VLOOKUP(B190,Unidades!A:G,2,FALSE),"")</f>
        <v/>
      </c>
      <c r="G190" s="7">
        <f>IFERROR(VLOOKUP(B190,Unidades!A:G,4,FALSE),"")</f>
        <v/>
      </c>
      <c r="H190" s="7">
        <f>Inspecciones!D190</f>
        <v/>
      </c>
      <c r="I190" s="7">
        <f>Inspecciones!E190</f>
        <v/>
      </c>
      <c r="J190" s="7">
        <f>Inspecciones!F190</f>
        <v/>
      </c>
      <c r="K190" s="7">
        <f>Inspecciones!G190</f>
        <v/>
      </c>
    </row>
    <row r="191">
      <c r="A191" s="8">
        <f>Inspecciones!A191</f>
        <v/>
      </c>
      <c r="B191" s="8">
        <f>Inspecciones!B191</f>
        <v/>
      </c>
      <c r="C191" s="8">
        <f>IFERROR(VLOOKUP(B191,Unidades!A:G,5,FALSE),"")</f>
        <v/>
      </c>
      <c r="D191" s="8">
        <f>IFERROR(VLOOKUP(B191,Unidades!A:G,6,FALSE),"")</f>
        <v/>
      </c>
      <c r="E191" s="8">
        <f>IFERROR(VLOOKUP(B191,Unidades!A:G,7,FALSE),"")</f>
        <v/>
      </c>
      <c r="F191" s="8">
        <f>IFERROR(VLOOKUP(B191,Unidades!A:G,2,FALSE),"")</f>
        <v/>
      </c>
      <c r="G191" s="8">
        <f>IFERROR(VLOOKUP(B191,Unidades!A:G,4,FALSE),"")</f>
        <v/>
      </c>
      <c r="H191" s="8">
        <f>Inspecciones!D191</f>
        <v/>
      </c>
      <c r="I191" s="8">
        <f>Inspecciones!E191</f>
        <v/>
      </c>
      <c r="J191" s="8">
        <f>Inspecciones!F191</f>
        <v/>
      </c>
      <c r="K191" s="8">
        <f>Inspecciones!G191</f>
        <v/>
      </c>
    </row>
    <row r="192">
      <c r="A192" s="7">
        <f>Inspecciones!A192</f>
        <v/>
      </c>
      <c r="B192" s="7">
        <f>Inspecciones!B192</f>
        <v/>
      </c>
      <c r="C192" s="7">
        <f>IFERROR(VLOOKUP(B192,Unidades!A:G,5,FALSE),"")</f>
        <v/>
      </c>
      <c r="D192" s="7">
        <f>IFERROR(VLOOKUP(B192,Unidades!A:G,6,FALSE),"")</f>
        <v/>
      </c>
      <c r="E192" s="7">
        <f>IFERROR(VLOOKUP(B192,Unidades!A:G,7,FALSE),"")</f>
        <v/>
      </c>
      <c r="F192" s="7">
        <f>IFERROR(VLOOKUP(B192,Unidades!A:G,2,FALSE),"")</f>
        <v/>
      </c>
      <c r="G192" s="7">
        <f>IFERROR(VLOOKUP(B192,Unidades!A:G,4,FALSE),"")</f>
        <v/>
      </c>
      <c r="H192" s="7">
        <f>Inspecciones!D192</f>
        <v/>
      </c>
      <c r="I192" s="7">
        <f>Inspecciones!E192</f>
        <v/>
      </c>
      <c r="J192" s="7">
        <f>Inspecciones!F192</f>
        <v/>
      </c>
      <c r="K192" s="7">
        <f>Inspecciones!G192</f>
        <v/>
      </c>
    </row>
    <row r="193">
      <c r="A193" s="8">
        <f>Inspecciones!A193</f>
        <v/>
      </c>
      <c r="B193" s="8">
        <f>Inspecciones!B193</f>
        <v/>
      </c>
      <c r="C193" s="8">
        <f>IFERROR(VLOOKUP(B193,Unidades!A:G,5,FALSE),"")</f>
        <v/>
      </c>
      <c r="D193" s="8">
        <f>IFERROR(VLOOKUP(B193,Unidades!A:G,6,FALSE),"")</f>
        <v/>
      </c>
      <c r="E193" s="8">
        <f>IFERROR(VLOOKUP(B193,Unidades!A:G,7,FALSE),"")</f>
        <v/>
      </c>
      <c r="F193" s="8">
        <f>IFERROR(VLOOKUP(B193,Unidades!A:G,2,FALSE),"")</f>
        <v/>
      </c>
      <c r="G193" s="8">
        <f>IFERROR(VLOOKUP(B193,Unidades!A:G,4,FALSE),"")</f>
        <v/>
      </c>
      <c r="H193" s="8">
        <f>Inspecciones!D193</f>
        <v/>
      </c>
      <c r="I193" s="8">
        <f>Inspecciones!E193</f>
        <v/>
      </c>
      <c r="J193" s="8">
        <f>Inspecciones!F193</f>
        <v/>
      </c>
      <c r="K193" s="8">
        <f>Inspecciones!G193</f>
        <v/>
      </c>
    </row>
    <row r="194">
      <c r="A194" s="7">
        <f>Inspecciones!A194</f>
        <v/>
      </c>
      <c r="B194" s="7">
        <f>Inspecciones!B194</f>
        <v/>
      </c>
      <c r="C194" s="7">
        <f>IFERROR(VLOOKUP(B194,Unidades!A:G,5,FALSE),"")</f>
        <v/>
      </c>
      <c r="D194" s="7">
        <f>IFERROR(VLOOKUP(B194,Unidades!A:G,6,FALSE),"")</f>
        <v/>
      </c>
      <c r="E194" s="7">
        <f>IFERROR(VLOOKUP(B194,Unidades!A:G,7,FALSE),"")</f>
        <v/>
      </c>
      <c r="F194" s="7">
        <f>IFERROR(VLOOKUP(B194,Unidades!A:G,2,FALSE),"")</f>
        <v/>
      </c>
      <c r="G194" s="7">
        <f>IFERROR(VLOOKUP(B194,Unidades!A:G,4,FALSE),"")</f>
        <v/>
      </c>
      <c r="H194" s="7">
        <f>Inspecciones!D194</f>
        <v/>
      </c>
      <c r="I194" s="7">
        <f>Inspecciones!E194</f>
        <v/>
      </c>
      <c r="J194" s="7">
        <f>Inspecciones!F194</f>
        <v/>
      </c>
      <c r="K194" s="7">
        <f>Inspecciones!G194</f>
        <v/>
      </c>
    </row>
    <row r="195">
      <c r="A195" s="8">
        <f>Inspecciones!A195</f>
        <v/>
      </c>
      <c r="B195" s="8">
        <f>Inspecciones!B195</f>
        <v/>
      </c>
      <c r="C195" s="8">
        <f>IFERROR(VLOOKUP(B195,Unidades!A:G,5,FALSE),"")</f>
        <v/>
      </c>
      <c r="D195" s="8">
        <f>IFERROR(VLOOKUP(B195,Unidades!A:G,6,FALSE),"")</f>
        <v/>
      </c>
      <c r="E195" s="8">
        <f>IFERROR(VLOOKUP(B195,Unidades!A:G,7,FALSE),"")</f>
        <v/>
      </c>
      <c r="F195" s="8">
        <f>IFERROR(VLOOKUP(B195,Unidades!A:G,2,FALSE),"")</f>
        <v/>
      </c>
      <c r="G195" s="8">
        <f>IFERROR(VLOOKUP(B195,Unidades!A:G,4,FALSE),"")</f>
        <v/>
      </c>
      <c r="H195" s="8">
        <f>Inspecciones!D195</f>
        <v/>
      </c>
      <c r="I195" s="8">
        <f>Inspecciones!E195</f>
        <v/>
      </c>
      <c r="J195" s="8">
        <f>Inspecciones!F195</f>
        <v/>
      </c>
      <c r="K195" s="8">
        <f>Inspecciones!G195</f>
        <v/>
      </c>
    </row>
    <row r="196">
      <c r="A196" s="7">
        <f>Inspecciones!A196</f>
        <v/>
      </c>
      <c r="B196" s="7">
        <f>Inspecciones!B196</f>
        <v/>
      </c>
      <c r="C196" s="7">
        <f>IFERROR(VLOOKUP(B196,Unidades!A:G,5,FALSE),"")</f>
        <v/>
      </c>
      <c r="D196" s="7">
        <f>IFERROR(VLOOKUP(B196,Unidades!A:G,6,FALSE),"")</f>
        <v/>
      </c>
      <c r="E196" s="7">
        <f>IFERROR(VLOOKUP(B196,Unidades!A:G,7,FALSE),"")</f>
        <v/>
      </c>
      <c r="F196" s="7">
        <f>IFERROR(VLOOKUP(B196,Unidades!A:G,2,FALSE),"")</f>
        <v/>
      </c>
      <c r="G196" s="7">
        <f>IFERROR(VLOOKUP(B196,Unidades!A:G,4,FALSE),"")</f>
        <v/>
      </c>
      <c r="H196" s="7">
        <f>Inspecciones!D196</f>
        <v/>
      </c>
      <c r="I196" s="7">
        <f>Inspecciones!E196</f>
        <v/>
      </c>
      <c r="J196" s="7">
        <f>Inspecciones!F196</f>
        <v/>
      </c>
      <c r="K196" s="7">
        <f>Inspecciones!G196</f>
        <v/>
      </c>
    </row>
    <row r="197">
      <c r="A197" s="8">
        <f>Inspecciones!A197</f>
        <v/>
      </c>
      <c r="B197" s="8">
        <f>Inspecciones!B197</f>
        <v/>
      </c>
      <c r="C197" s="8">
        <f>IFERROR(VLOOKUP(B197,Unidades!A:G,5,FALSE),"")</f>
        <v/>
      </c>
      <c r="D197" s="8">
        <f>IFERROR(VLOOKUP(B197,Unidades!A:G,6,FALSE),"")</f>
        <v/>
      </c>
      <c r="E197" s="8">
        <f>IFERROR(VLOOKUP(B197,Unidades!A:G,7,FALSE),"")</f>
        <v/>
      </c>
      <c r="F197" s="8">
        <f>IFERROR(VLOOKUP(B197,Unidades!A:G,2,FALSE),"")</f>
        <v/>
      </c>
      <c r="G197" s="8">
        <f>IFERROR(VLOOKUP(B197,Unidades!A:G,4,FALSE),"")</f>
        <v/>
      </c>
      <c r="H197" s="8">
        <f>Inspecciones!D197</f>
        <v/>
      </c>
      <c r="I197" s="8">
        <f>Inspecciones!E197</f>
        <v/>
      </c>
      <c r="J197" s="8">
        <f>Inspecciones!F197</f>
        <v/>
      </c>
      <c r="K197" s="8">
        <f>Inspecciones!G197</f>
        <v/>
      </c>
    </row>
    <row r="198">
      <c r="A198" s="7">
        <f>Inspecciones!A198</f>
        <v/>
      </c>
      <c r="B198" s="7">
        <f>Inspecciones!B198</f>
        <v/>
      </c>
      <c r="C198" s="7">
        <f>IFERROR(VLOOKUP(B198,Unidades!A:G,5,FALSE),"")</f>
        <v/>
      </c>
      <c r="D198" s="7">
        <f>IFERROR(VLOOKUP(B198,Unidades!A:G,6,FALSE),"")</f>
        <v/>
      </c>
      <c r="E198" s="7">
        <f>IFERROR(VLOOKUP(B198,Unidades!A:G,7,FALSE),"")</f>
        <v/>
      </c>
      <c r="F198" s="7">
        <f>IFERROR(VLOOKUP(B198,Unidades!A:G,2,FALSE),"")</f>
        <v/>
      </c>
      <c r="G198" s="7">
        <f>IFERROR(VLOOKUP(B198,Unidades!A:G,4,FALSE),"")</f>
        <v/>
      </c>
      <c r="H198" s="7">
        <f>Inspecciones!D198</f>
        <v/>
      </c>
      <c r="I198" s="7">
        <f>Inspecciones!E198</f>
        <v/>
      </c>
      <c r="J198" s="7">
        <f>Inspecciones!F198</f>
        <v/>
      </c>
      <c r="K198" s="7">
        <f>Inspecciones!G198</f>
        <v/>
      </c>
    </row>
    <row r="199">
      <c r="A199" s="8">
        <f>Inspecciones!A199</f>
        <v/>
      </c>
      <c r="B199" s="8">
        <f>Inspecciones!B199</f>
        <v/>
      </c>
      <c r="C199" s="8">
        <f>IFERROR(VLOOKUP(B199,Unidades!A:G,5,FALSE),"")</f>
        <v/>
      </c>
      <c r="D199" s="8">
        <f>IFERROR(VLOOKUP(B199,Unidades!A:G,6,FALSE),"")</f>
        <v/>
      </c>
      <c r="E199" s="8">
        <f>IFERROR(VLOOKUP(B199,Unidades!A:G,7,FALSE),"")</f>
        <v/>
      </c>
      <c r="F199" s="8">
        <f>IFERROR(VLOOKUP(B199,Unidades!A:G,2,FALSE),"")</f>
        <v/>
      </c>
      <c r="G199" s="8">
        <f>IFERROR(VLOOKUP(B199,Unidades!A:G,4,FALSE),"")</f>
        <v/>
      </c>
      <c r="H199" s="8">
        <f>Inspecciones!D199</f>
        <v/>
      </c>
      <c r="I199" s="8">
        <f>Inspecciones!E199</f>
        <v/>
      </c>
      <c r="J199" s="8">
        <f>Inspecciones!F199</f>
        <v/>
      </c>
      <c r="K199" s="8">
        <f>Inspecciones!G199</f>
        <v/>
      </c>
    </row>
    <row r="200">
      <c r="A200" s="7">
        <f>Inspecciones!A200</f>
        <v/>
      </c>
      <c r="B200" s="7">
        <f>Inspecciones!B200</f>
        <v/>
      </c>
      <c r="C200" s="7">
        <f>IFERROR(VLOOKUP(B200,Unidades!A:G,5,FALSE),"")</f>
        <v/>
      </c>
      <c r="D200" s="7">
        <f>IFERROR(VLOOKUP(B200,Unidades!A:G,6,FALSE),"")</f>
        <v/>
      </c>
      <c r="E200" s="7">
        <f>IFERROR(VLOOKUP(B200,Unidades!A:G,7,FALSE),"")</f>
        <v/>
      </c>
      <c r="F200" s="7">
        <f>IFERROR(VLOOKUP(B200,Unidades!A:G,2,FALSE),"")</f>
        <v/>
      </c>
      <c r="G200" s="7">
        <f>IFERROR(VLOOKUP(B200,Unidades!A:G,4,FALSE),"")</f>
        <v/>
      </c>
      <c r="H200" s="7">
        <f>Inspecciones!D200</f>
        <v/>
      </c>
      <c r="I200" s="7">
        <f>Inspecciones!E200</f>
        <v/>
      </c>
      <c r="J200" s="7">
        <f>Inspecciones!F200</f>
        <v/>
      </c>
      <c r="K200" s="7">
        <f>Inspecciones!G200</f>
        <v/>
      </c>
    </row>
    <row r="201">
      <c r="A201" s="8">
        <f>Inspecciones!A201</f>
        <v/>
      </c>
      <c r="B201" s="8">
        <f>Inspecciones!B201</f>
        <v/>
      </c>
      <c r="C201" s="8">
        <f>IFERROR(VLOOKUP(B201,Unidades!A:G,5,FALSE),"")</f>
        <v/>
      </c>
      <c r="D201" s="8">
        <f>IFERROR(VLOOKUP(B201,Unidades!A:G,6,FALSE),"")</f>
        <v/>
      </c>
      <c r="E201" s="8">
        <f>IFERROR(VLOOKUP(B201,Unidades!A:G,7,FALSE),"")</f>
        <v/>
      </c>
      <c r="F201" s="8">
        <f>IFERROR(VLOOKUP(B201,Unidades!A:G,2,FALSE),"")</f>
        <v/>
      </c>
      <c r="G201" s="8">
        <f>IFERROR(VLOOKUP(B201,Unidades!A:G,4,FALSE),"")</f>
        <v/>
      </c>
      <c r="H201" s="8">
        <f>Inspecciones!D201</f>
        <v/>
      </c>
      <c r="I201" s="8">
        <f>Inspecciones!E201</f>
        <v/>
      </c>
      <c r="J201" s="8">
        <f>Inspecciones!F201</f>
        <v/>
      </c>
      <c r="K201" s="8">
        <f>Inspecciones!G201</f>
        <v/>
      </c>
    </row>
    <row r="202">
      <c r="A202" s="7">
        <f>Inspecciones!A202</f>
        <v/>
      </c>
      <c r="B202" s="7">
        <f>Inspecciones!B202</f>
        <v/>
      </c>
      <c r="C202" s="7">
        <f>IFERROR(VLOOKUP(B202,Unidades!A:G,5,FALSE),"")</f>
        <v/>
      </c>
      <c r="D202" s="7">
        <f>IFERROR(VLOOKUP(B202,Unidades!A:G,6,FALSE),"")</f>
        <v/>
      </c>
      <c r="E202" s="7">
        <f>IFERROR(VLOOKUP(B202,Unidades!A:G,7,FALSE),"")</f>
        <v/>
      </c>
      <c r="F202" s="7">
        <f>IFERROR(VLOOKUP(B202,Unidades!A:G,2,FALSE),"")</f>
        <v/>
      </c>
      <c r="G202" s="7">
        <f>IFERROR(VLOOKUP(B202,Unidades!A:G,4,FALSE),"")</f>
        <v/>
      </c>
      <c r="H202" s="7">
        <f>Inspecciones!D202</f>
        <v/>
      </c>
      <c r="I202" s="7">
        <f>Inspecciones!E202</f>
        <v/>
      </c>
      <c r="J202" s="7">
        <f>Inspecciones!F202</f>
        <v/>
      </c>
      <c r="K202" s="7">
        <f>Inspecciones!G202</f>
        <v/>
      </c>
    </row>
    <row r="203">
      <c r="A203" s="8">
        <f>Inspecciones!A203</f>
        <v/>
      </c>
      <c r="B203" s="8">
        <f>Inspecciones!B203</f>
        <v/>
      </c>
      <c r="C203" s="8">
        <f>IFERROR(VLOOKUP(B203,Unidades!A:G,5,FALSE),"")</f>
        <v/>
      </c>
      <c r="D203" s="8">
        <f>IFERROR(VLOOKUP(B203,Unidades!A:G,6,FALSE),"")</f>
        <v/>
      </c>
      <c r="E203" s="8">
        <f>IFERROR(VLOOKUP(B203,Unidades!A:G,7,FALSE),"")</f>
        <v/>
      </c>
      <c r="F203" s="8">
        <f>IFERROR(VLOOKUP(B203,Unidades!A:G,2,FALSE),"")</f>
        <v/>
      </c>
      <c r="G203" s="8">
        <f>IFERROR(VLOOKUP(B203,Unidades!A:G,4,FALSE),"")</f>
        <v/>
      </c>
      <c r="H203" s="8">
        <f>Inspecciones!D203</f>
        <v/>
      </c>
      <c r="I203" s="8">
        <f>Inspecciones!E203</f>
        <v/>
      </c>
      <c r="J203" s="8">
        <f>Inspecciones!F203</f>
        <v/>
      </c>
      <c r="K203" s="8">
        <f>Inspecciones!G203</f>
        <v/>
      </c>
    </row>
    <row r="204">
      <c r="A204" s="7">
        <f>Inspecciones!A204</f>
        <v/>
      </c>
      <c r="B204" s="7">
        <f>Inspecciones!B204</f>
        <v/>
      </c>
      <c r="C204" s="7">
        <f>IFERROR(VLOOKUP(B204,Unidades!A:G,5,FALSE),"")</f>
        <v/>
      </c>
      <c r="D204" s="7">
        <f>IFERROR(VLOOKUP(B204,Unidades!A:G,6,FALSE),"")</f>
        <v/>
      </c>
      <c r="E204" s="7">
        <f>IFERROR(VLOOKUP(B204,Unidades!A:G,7,FALSE),"")</f>
        <v/>
      </c>
      <c r="F204" s="7">
        <f>IFERROR(VLOOKUP(B204,Unidades!A:G,2,FALSE),"")</f>
        <v/>
      </c>
      <c r="G204" s="7">
        <f>IFERROR(VLOOKUP(B204,Unidades!A:G,4,FALSE),"")</f>
        <v/>
      </c>
      <c r="H204" s="7">
        <f>Inspecciones!D204</f>
        <v/>
      </c>
      <c r="I204" s="7">
        <f>Inspecciones!E204</f>
        <v/>
      </c>
      <c r="J204" s="7">
        <f>Inspecciones!F204</f>
        <v/>
      </c>
      <c r="K204" s="7">
        <f>Inspecciones!G204</f>
        <v/>
      </c>
    </row>
    <row r="205">
      <c r="A205" s="8">
        <f>Inspecciones!A205</f>
        <v/>
      </c>
      <c r="B205" s="8">
        <f>Inspecciones!B205</f>
        <v/>
      </c>
      <c r="C205" s="8">
        <f>IFERROR(VLOOKUP(B205,Unidades!A:G,5,FALSE),"")</f>
        <v/>
      </c>
      <c r="D205" s="8">
        <f>IFERROR(VLOOKUP(B205,Unidades!A:G,6,FALSE),"")</f>
        <v/>
      </c>
      <c r="E205" s="8">
        <f>IFERROR(VLOOKUP(B205,Unidades!A:G,7,FALSE),"")</f>
        <v/>
      </c>
      <c r="F205" s="8">
        <f>IFERROR(VLOOKUP(B205,Unidades!A:G,2,FALSE),"")</f>
        <v/>
      </c>
      <c r="G205" s="8">
        <f>IFERROR(VLOOKUP(B205,Unidades!A:G,4,FALSE),"")</f>
        <v/>
      </c>
      <c r="H205" s="8">
        <f>Inspecciones!D205</f>
        <v/>
      </c>
      <c r="I205" s="8">
        <f>Inspecciones!E205</f>
        <v/>
      </c>
      <c r="J205" s="8">
        <f>Inspecciones!F205</f>
        <v/>
      </c>
      <c r="K205" s="8">
        <f>Inspecciones!G205</f>
        <v/>
      </c>
    </row>
    <row r="206">
      <c r="A206" s="7">
        <f>Inspecciones!A206</f>
        <v/>
      </c>
      <c r="B206" s="7">
        <f>Inspecciones!B206</f>
        <v/>
      </c>
      <c r="C206" s="7">
        <f>IFERROR(VLOOKUP(B206,Unidades!A:G,5,FALSE),"")</f>
        <v/>
      </c>
      <c r="D206" s="7">
        <f>IFERROR(VLOOKUP(B206,Unidades!A:G,6,FALSE),"")</f>
        <v/>
      </c>
      <c r="E206" s="7">
        <f>IFERROR(VLOOKUP(B206,Unidades!A:G,7,FALSE),"")</f>
        <v/>
      </c>
      <c r="F206" s="7">
        <f>IFERROR(VLOOKUP(B206,Unidades!A:G,2,FALSE),"")</f>
        <v/>
      </c>
      <c r="G206" s="7">
        <f>IFERROR(VLOOKUP(B206,Unidades!A:G,4,FALSE),"")</f>
        <v/>
      </c>
      <c r="H206" s="7">
        <f>Inspecciones!D206</f>
        <v/>
      </c>
      <c r="I206" s="7">
        <f>Inspecciones!E206</f>
        <v/>
      </c>
      <c r="J206" s="7">
        <f>Inspecciones!F206</f>
        <v/>
      </c>
      <c r="K206" s="7">
        <f>Inspecciones!G206</f>
        <v/>
      </c>
    </row>
    <row r="207">
      <c r="A207" s="8">
        <f>Inspecciones!A207</f>
        <v/>
      </c>
      <c r="B207" s="8">
        <f>Inspecciones!B207</f>
        <v/>
      </c>
      <c r="C207" s="8">
        <f>IFERROR(VLOOKUP(B207,Unidades!A:G,5,FALSE),"")</f>
        <v/>
      </c>
      <c r="D207" s="8">
        <f>IFERROR(VLOOKUP(B207,Unidades!A:G,6,FALSE),"")</f>
        <v/>
      </c>
      <c r="E207" s="8">
        <f>IFERROR(VLOOKUP(B207,Unidades!A:G,7,FALSE),"")</f>
        <v/>
      </c>
      <c r="F207" s="8">
        <f>IFERROR(VLOOKUP(B207,Unidades!A:G,2,FALSE),"")</f>
        <v/>
      </c>
      <c r="G207" s="8">
        <f>IFERROR(VLOOKUP(B207,Unidades!A:G,4,FALSE),"")</f>
        <v/>
      </c>
      <c r="H207" s="8">
        <f>Inspecciones!D207</f>
        <v/>
      </c>
      <c r="I207" s="8">
        <f>Inspecciones!E207</f>
        <v/>
      </c>
      <c r="J207" s="8">
        <f>Inspecciones!F207</f>
        <v/>
      </c>
      <c r="K207" s="8">
        <f>Inspecciones!G207</f>
        <v/>
      </c>
    </row>
    <row r="208">
      <c r="A208" s="7">
        <f>Inspecciones!A208</f>
        <v/>
      </c>
      <c r="B208" s="7">
        <f>Inspecciones!B208</f>
        <v/>
      </c>
      <c r="C208" s="7">
        <f>IFERROR(VLOOKUP(B208,Unidades!A:G,5,FALSE),"")</f>
        <v/>
      </c>
      <c r="D208" s="7">
        <f>IFERROR(VLOOKUP(B208,Unidades!A:G,6,FALSE),"")</f>
        <v/>
      </c>
      <c r="E208" s="7">
        <f>IFERROR(VLOOKUP(B208,Unidades!A:G,7,FALSE),"")</f>
        <v/>
      </c>
      <c r="F208" s="7">
        <f>IFERROR(VLOOKUP(B208,Unidades!A:G,2,FALSE),"")</f>
        <v/>
      </c>
      <c r="G208" s="7">
        <f>IFERROR(VLOOKUP(B208,Unidades!A:G,4,FALSE),"")</f>
        <v/>
      </c>
      <c r="H208" s="7">
        <f>Inspecciones!D208</f>
        <v/>
      </c>
      <c r="I208" s="7">
        <f>Inspecciones!E208</f>
        <v/>
      </c>
      <c r="J208" s="7">
        <f>Inspecciones!F208</f>
        <v/>
      </c>
      <c r="K208" s="7">
        <f>Inspecciones!G208</f>
        <v/>
      </c>
    </row>
    <row r="209">
      <c r="A209" s="8">
        <f>Inspecciones!A209</f>
        <v/>
      </c>
      <c r="B209" s="8">
        <f>Inspecciones!B209</f>
        <v/>
      </c>
      <c r="C209" s="8">
        <f>IFERROR(VLOOKUP(B209,Unidades!A:G,5,FALSE),"")</f>
        <v/>
      </c>
      <c r="D209" s="8">
        <f>IFERROR(VLOOKUP(B209,Unidades!A:G,6,FALSE),"")</f>
        <v/>
      </c>
      <c r="E209" s="8">
        <f>IFERROR(VLOOKUP(B209,Unidades!A:G,7,FALSE),"")</f>
        <v/>
      </c>
      <c r="F209" s="8">
        <f>IFERROR(VLOOKUP(B209,Unidades!A:G,2,FALSE),"")</f>
        <v/>
      </c>
      <c r="G209" s="8">
        <f>IFERROR(VLOOKUP(B209,Unidades!A:G,4,FALSE),"")</f>
        <v/>
      </c>
      <c r="H209" s="8">
        <f>Inspecciones!D209</f>
        <v/>
      </c>
      <c r="I209" s="8">
        <f>Inspecciones!E209</f>
        <v/>
      </c>
      <c r="J209" s="8">
        <f>Inspecciones!F209</f>
        <v/>
      </c>
      <c r="K209" s="8">
        <f>Inspecciones!G209</f>
        <v/>
      </c>
    </row>
    <row r="210">
      <c r="A210" s="7">
        <f>Inspecciones!A210</f>
        <v/>
      </c>
      <c r="B210" s="7">
        <f>Inspecciones!B210</f>
        <v/>
      </c>
      <c r="C210" s="7">
        <f>IFERROR(VLOOKUP(B210,Unidades!A:G,5,FALSE),"")</f>
        <v/>
      </c>
      <c r="D210" s="7">
        <f>IFERROR(VLOOKUP(B210,Unidades!A:G,6,FALSE),"")</f>
        <v/>
      </c>
      <c r="E210" s="7">
        <f>IFERROR(VLOOKUP(B210,Unidades!A:G,7,FALSE),"")</f>
        <v/>
      </c>
      <c r="F210" s="7">
        <f>IFERROR(VLOOKUP(B210,Unidades!A:G,2,FALSE),"")</f>
        <v/>
      </c>
      <c r="G210" s="7">
        <f>IFERROR(VLOOKUP(B210,Unidades!A:G,4,FALSE),"")</f>
        <v/>
      </c>
      <c r="H210" s="7">
        <f>Inspecciones!D210</f>
        <v/>
      </c>
      <c r="I210" s="7">
        <f>Inspecciones!E210</f>
        <v/>
      </c>
      <c r="J210" s="7">
        <f>Inspecciones!F210</f>
        <v/>
      </c>
      <c r="K210" s="7">
        <f>Inspecciones!G210</f>
        <v/>
      </c>
    </row>
    <row r="211">
      <c r="A211" s="8">
        <f>Inspecciones!A211</f>
        <v/>
      </c>
      <c r="B211" s="8">
        <f>Inspecciones!B211</f>
        <v/>
      </c>
      <c r="C211" s="8">
        <f>IFERROR(VLOOKUP(B211,Unidades!A:G,5,FALSE),"")</f>
        <v/>
      </c>
      <c r="D211" s="8">
        <f>IFERROR(VLOOKUP(B211,Unidades!A:G,6,FALSE),"")</f>
        <v/>
      </c>
      <c r="E211" s="8">
        <f>IFERROR(VLOOKUP(B211,Unidades!A:G,7,FALSE),"")</f>
        <v/>
      </c>
      <c r="F211" s="8">
        <f>IFERROR(VLOOKUP(B211,Unidades!A:G,2,FALSE),"")</f>
        <v/>
      </c>
      <c r="G211" s="8">
        <f>IFERROR(VLOOKUP(B211,Unidades!A:G,4,FALSE),"")</f>
        <v/>
      </c>
      <c r="H211" s="8">
        <f>Inspecciones!D211</f>
        <v/>
      </c>
      <c r="I211" s="8">
        <f>Inspecciones!E211</f>
        <v/>
      </c>
      <c r="J211" s="8">
        <f>Inspecciones!F211</f>
        <v/>
      </c>
      <c r="K211" s="8">
        <f>Inspecciones!G211</f>
        <v/>
      </c>
    </row>
    <row r="212">
      <c r="A212" s="7">
        <f>Inspecciones!A212</f>
        <v/>
      </c>
      <c r="B212" s="7">
        <f>Inspecciones!B212</f>
        <v/>
      </c>
      <c r="C212" s="7">
        <f>IFERROR(VLOOKUP(B212,Unidades!A:G,5,FALSE),"")</f>
        <v/>
      </c>
      <c r="D212" s="7">
        <f>IFERROR(VLOOKUP(B212,Unidades!A:G,6,FALSE),"")</f>
        <v/>
      </c>
      <c r="E212" s="7">
        <f>IFERROR(VLOOKUP(B212,Unidades!A:G,7,FALSE),"")</f>
        <v/>
      </c>
      <c r="F212" s="7">
        <f>IFERROR(VLOOKUP(B212,Unidades!A:G,2,FALSE),"")</f>
        <v/>
      </c>
      <c r="G212" s="7">
        <f>IFERROR(VLOOKUP(B212,Unidades!A:G,4,FALSE),"")</f>
        <v/>
      </c>
      <c r="H212" s="7">
        <f>Inspecciones!D212</f>
        <v/>
      </c>
      <c r="I212" s="7">
        <f>Inspecciones!E212</f>
        <v/>
      </c>
      <c r="J212" s="7">
        <f>Inspecciones!F212</f>
        <v/>
      </c>
      <c r="K212" s="7">
        <f>Inspecciones!G212</f>
        <v/>
      </c>
    </row>
    <row r="213">
      <c r="A213" s="8">
        <f>Inspecciones!A213</f>
        <v/>
      </c>
      <c r="B213" s="8">
        <f>Inspecciones!B213</f>
        <v/>
      </c>
      <c r="C213" s="8">
        <f>IFERROR(VLOOKUP(B213,Unidades!A:G,5,FALSE),"")</f>
        <v/>
      </c>
      <c r="D213" s="8">
        <f>IFERROR(VLOOKUP(B213,Unidades!A:G,6,FALSE),"")</f>
        <v/>
      </c>
      <c r="E213" s="8">
        <f>IFERROR(VLOOKUP(B213,Unidades!A:G,7,FALSE),"")</f>
        <v/>
      </c>
      <c r="F213" s="8">
        <f>IFERROR(VLOOKUP(B213,Unidades!A:G,2,FALSE),"")</f>
        <v/>
      </c>
      <c r="G213" s="8">
        <f>IFERROR(VLOOKUP(B213,Unidades!A:G,4,FALSE),"")</f>
        <v/>
      </c>
      <c r="H213" s="8">
        <f>Inspecciones!D213</f>
        <v/>
      </c>
      <c r="I213" s="8">
        <f>Inspecciones!E213</f>
        <v/>
      </c>
      <c r="J213" s="8">
        <f>Inspecciones!F213</f>
        <v/>
      </c>
      <c r="K213" s="8">
        <f>Inspecciones!G213</f>
        <v/>
      </c>
    </row>
    <row r="214">
      <c r="A214" s="7">
        <f>Inspecciones!A214</f>
        <v/>
      </c>
      <c r="B214" s="7">
        <f>Inspecciones!B214</f>
        <v/>
      </c>
      <c r="C214" s="7">
        <f>IFERROR(VLOOKUP(B214,Unidades!A:G,5,FALSE),"")</f>
        <v/>
      </c>
      <c r="D214" s="7">
        <f>IFERROR(VLOOKUP(B214,Unidades!A:G,6,FALSE),"")</f>
        <v/>
      </c>
      <c r="E214" s="7">
        <f>IFERROR(VLOOKUP(B214,Unidades!A:G,7,FALSE),"")</f>
        <v/>
      </c>
      <c r="F214" s="7">
        <f>IFERROR(VLOOKUP(B214,Unidades!A:G,2,FALSE),"")</f>
        <v/>
      </c>
      <c r="G214" s="7">
        <f>IFERROR(VLOOKUP(B214,Unidades!A:G,4,FALSE),"")</f>
        <v/>
      </c>
      <c r="H214" s="7">
        <f>Inspecciones!D214</f>
        <v/>
      </c>
      <c r="I214" s="7">
        <f>Inspecciones!E214</f>
        <v/>
      </c>
      <c r="J214" s="7">
        <f>Inspecciones!F214</f>
        <v/>
      </c>
      <c r="K214" s="7">
        <f>Inspecciones!G214</f>
        <v/>
      </c>
    </row>
    <row r="215">
      <c r="A215" s="8">
        <f>Inspecciones!A215</f>
        <v/>
      </c>
      <c r="B215" s="8">
        <f>Inspecciones!B215</f>
        <v/>
      </c>
      <c r="C215" s="8">
        <f>IFERROR(VLOOKUP(B215,Unidades!A:G,5,FALSE),"")</f>
        <v/>
      </c>
      <c r="D215" s="8">
        <f>IFERROR(VLOOKUP(B215,Unidades!A:G,6,FALSE),"")</f>
        <v/>
      </c>
      <c r="E215" s="8">
        <f>IFERROR(VLOOKUP(B215,Unidades!A:G,7,FALSE),"")</f>
        <v/>
      </c>
      <c r="F215" s="8">
        <f>IFERROR(VLOOKUP(B215,Unidades!A:G,2,FALSE),"")</f>
        <v/>
      </c>
      <c r="G215" s="8">
        <f>IFERROR(VLOOKUP(B215,Unidades!A:G,4,FALSE),"")</f>
        <v/>
      </c>
      <c r="H215" s="8">
        <f>Inspecciones!D215</f>
        <v/>
      </c>
      <c r="I215" s="8">
        <f>Inspecciones!E215</f>
        <v/>
      </c>
      <c r="J215" s="8">
        <f>Inspecciones!F215</f>
        <v/>
      </c>
      <c r="K215" s="8">
        <f>Inspecciones!G215</f>
        <v/>
      </c>
    </row>
    <row r="216">
      <c r="A216" s="7">
        <f>Inspecciones!A216</f>
        <v/>
      </c>
      <c r="B216" s="7">
        <f>Inspecciones!B216</f>
        <v/>
      </c>
      <c r="C216" s="7">
        <f>IFERROR(VLOOKUP(B216,Unidades!A:G,5,FALSE),"")</f>
        <v/>
      </c>
      <c r="D216" s="7">
        <f>IFERROR(VLOOKUP(B216,Unidades!A:G,6,FALSE),"")</f>
        <v/>
      </c>
      <c r="E216" s="7">
        <f>IFERROR(VLOOKUP(B216,Unidades!A:G,7,FALSE),"")</f>
        <v/>
      </c>
      <c r="F216" s="7">
        <f>IFERROR(VLOOKUP(B216,Unidades!A:G,2,FALSE),"")</f>
        <v/>
      </c>
      <c r="G216" s="7">
        <f>IFERROR(VLOOKUP(B216,Unidades!A:G,4,FALSE),"")</f>
        <v/>
      </c>
      <c r="H216" s="7">
        <f>Inspecciones!D216</f>
        <v/>
      </c>
      <c r="I216" s="7">
        <f>Inspecciones!E216</f>
        <v/>
      </c>
      <c r="J216" s="7">
        <f>Inspecciones!F216</f>
        <v/>
      </c>
      <c r="K216" s="7">
        <f>Inspecciones!G216</f>
        <v/>
      </c>
    </row>
    <row r="217">
      <c r="A217" s="8">
        <f>Inspecciones!A217</f>
        <v/>
      </c>
      <c r="B217" s="8">
        <f>Inspecciones!B217</f>
        <v/>
      </c>
      <c r="C217" s="8">
        <f>IFERROR(VLOOKUP(B217,Unidades!A:G,5,FALSE),"")</f>
        <v/>
      </c>
      <c r="D217" s="8">
        <f>IFERROR(VLOOKUP(B217,Unidades!A:G,6,FALSE),"")</f>
        <v/>
      </c>
      <c r="E217" s="8">
        <f>IFERROR(VLOOKUP(B217,Unidades!A:G,7,FALSE),"")</f>
        <v/>
      </c>
      <c r="F217" s="8">
        <f>IFERROR(VLOOKUP(B217,Unidades!A:G,2,FALSE),"")</f>
        <v/>
      </c>
      <c r="G217" s="8">
        <f>IFERROR(VLOOKUP(B217,Unidades!A:G,4,FALSE),"")</f>
        <v/>
      </c>
      <c r="H217" s="8">
        <f>Inspecciones!D217</f>
        <v/>
      </c>
      <c r="I217" s="8">
        <f>Inspecciones!E217</f>
        <v/>
      </c>
      <c r="J217" s="8">
        <f>Inspecciones!F217</f>
        <v/>
      </c>
      <c r="K217" s="8">
        <f>Inspecciones!G217</f>
        <v/>
      </c>
    </row>
    <row r="218">
      <c r="A218" s="7">
        <f>Inspecciones!A218</f>
        <v/>
      </c>
      <c r="B218" s="7">
        <f>Inspecciones!B218</f>
        <v/>
      </c>
      <c r="C218" s="7">
        <f>IFERROR(VLOOKUP(B218,Unidades!A:G,5,FALSE),"")</f>
        <v/>
      </c>
      <c r="D218" s="7">
        <f>IFERROR(VLOOKUP(B218,Unidades!A:G,6,FALSE),"")</f>
        <v/>
      </c>
      <c r="E218" s="7">
        <f>IFERROR(VLOOKUP(B218,Unidades!A:G,7,FALSE),"")</f>
        <v/>
      </c>
      <c r="F218" s="7">
        <f>IFERROR(VLOOKUP(B218,Unidades!A:G,2,FALSE),"")</f>
        <v/>
      </c>
      <c r="G218" s="7">
        <f>IFERROR(VLOOKUP(B218,Unidades!A:G,4,FALSE),"")</f>
        <v/>
      </c>
      <c r="H218" s="7">
        <f>Inspecciones!D218</f>
        <v/>
      </c>
      <c r="I218" s="7">
        <f>Inspecciones!E218</f>
        <v/>
      </c>
      <c r="J218" s="7">
        <f>Inspecciones!F218</f>
        <v/>
      </c>
      <c r="K218" s="7">
        <f>Inspecciones!G218</f>
        <v/>
      </c>
    </row>
    <row r="219">
      <c r="A219" s="8">
        <f>Inspecciones!A219</f>
        <v/>
      </c>
      <c r="B219" s="8">
        <f>Inspecciones!B219</f>
        <v/>
      </c>
      <c r="C219" s="8">
        <f>IFERROR(VLOOKUP(B219,Unidades!A:G,5,FALSE),"")</f>
        <v/>
      </c>
      <c r="D219" s="8">
        <f>IFERROR(VLOOKUP(B219,Unidades!A:G,6,FALSE),"")</f>
        <v/>
      </c>
      <c r="E219" s="8">
        <f>IFERROR(VLOOKUP(B219,Unidades!A:G,7,FALSE),"")</f>
        <v/>
      </c>
      <c r="F219" s="8">
        <f>IFERROR(VLOOKUP(B219,Unidades!A:G,2,FALSE),"")</f>
        <v/>
      </c>
      <c r="G219" s="8">
        <f>IFERROR(VLOOKUP(B219,Unidades!A:G,4,FALSE),"")</f>
        <v/>
      </c>
      <c r="H219" s="8">
        <f>Inspecciones!D219</f>
        <v/>
      </c>
      <c r="I219" s="8">
        <f>Inspecciones!E219</f>
        <v/>
      </c>
      <c r="J219" s="8">
        <f>Inspecciones!F219</f>
        <v/>
      </c>
      <c r="K219" s="8">
        <f>Inspecciones!G219</f>
        <v/>
      </c>
    </row>
    <row r="220">
      <c r="A220" s="7">
        <f>Inspecciones!A220</f>
        <v/>
      </c>
      <c r="B220" s="7">
        <f>Inspecciones!B220</f>
        <v/>
      </c>
      <c r="C220" s="7">
        <f>IFERROR(VLOOKUP(B220,Unidades!A:G,5,FALSE),"")</f>
        <v/>
      </c>
      <c r="D220" s="7">
        <f>IFERROR(VLOOKUP(B220,Unidades!A:G,6,FALSE),"")</f>
        <v/>
      </c>
      <c r="E220" s="7">
        <f>IFERROR(VLOOKUP(B220,Unidades!A:G,7,FALSE),"")</f>
        <v/>
      </c>
      <c r="F220" s="7">
        <f>IFERROR(VLOOKUP(B220,Unidades!A:G,2,FALSE),"")</f>
        <v/>
      </c>
      <c r="G220" s="7">
        <f>IFERROR(VLOOKUP(B220,Unidades!A:G,4,FALSE),"")</f>
        <v/>
      </c>
      <c r="H220" s="7">
        <f>Inspecciones!D220</f>
        <v/>
      </c>
      <c r="I220" s="7">
        <f>Inspecciones!E220</f>
        <v/>
      </c>
      <c r="J220" s="7">
        <f>Inspecciones!F220</f>
        <v/>
      </c>
      <c r="K220" s="7">
        <f>Inspecciones!G220</f>
        <v/>
      </c>
    </row>
    <row r="221">
      <c r="A221" s="8">
        <f>Inspecciones!A221</f>
        <v/>
      </c>
      <c r="B221" s="8">
        <f>Inspecciones!B221</f>
        <v/>
      </c>
      <c r="C221" s="8">
        <f>IFERROR(VLOOKUP(B221,Unidades!A:G,5,FALSE),"")</f>
        <v/>
      </c>
      <c r="D221" s="8">
        <f>IFERROR(VLOOKUP(B221,Unidades!A:G,6,FALSE),"")</f>
        <v/>
      </c>
      <c r="E221" s="8">
        <f>IFERROR(VLOOKUP(B221,Unidades!A:G,7,FALSE),"")</f>
        <v/>
      </c>
      <c r="F221" s="8">
        <f>IFERROR(VLOOKUP(B221,Unidades!A:G,2,FALSE),"")</f>
        <v/>
      </c>
      <c r="G221" s="8">
        <f>IFERROR(VLOOKUP(B221,Unidades!A:G,4,FALSE),"")</f>
        <v/>
      </c>
      <c r="H221" s="8">
        <f>Inspecciones!D221</f>
        <v/>
      </c>
      <c r="I221" s="8">
        <f>Inspecciones!E221</f>
        <v/>
      </c>
      <c r="J221" s="8">
        <f>Inspecciones!F221</f>
        <v/>
      </c>
      <c r="K221" s="8">
        <f>Inspecciones!G221</f>
        <v/>
      </c>
    </row>
    <row r="222">
      <c r="A222" s="7">
        <f>Inspecciones!A222</f>
        <v/>
      </c>
      <c r="B222" s="7">
        <f>Inspecciones!B222</f>
        <v/>
      </c>
      <c r="C222" s="7">
        <f>IFERROR(VLOOKUP(B222,Unidades!A:G,5,FALSE),"")</f>
        <v/>
      </c>
      <c r="D222" s="7">
        <f>IFERROR(VLOOKUP(B222,Unidades!A:G,6,FALSE),"")</f>
        <v/>
      </c>
      <c r="E222" s="7">
        <f>IFERROR(VLOOKUP(B222,Unidades!A:G,7,FALSE),"")</f>
        <v/>
      </c>
      <c r="F222" s="7">
        <f>IFERROR(VLOOKUP(B222,Unidades!A:G,2,FALSE),"")</f>
        <v/>
      </c>
      <c r="G222" s="7">
        <f>IFERROR(VLOOKUP(B222,Unidades!A:G,4,FALSE),"")</f>
        <v/>
      </c>
      <c r="H222" s="7">
        <f>Inspecciones!D222</f>
        <v/>
      </c>
      <c r="I222" s="7">
        <f>Inspecciones!E222</f>
        <v/>
      </c>
      <c r="J222" s="7">
        <f>Inspecciones!F222</f>
        <v/>
      </c>
      <c r="K222" s="7">
        <f>Inspecciones!G222</f>
        <v/>
      </c>
    </row>
    <row r="223">
      <c r="A223" s="8">
        <f>Inspecciones!A223</f>
        <v/>
      </c>
      <c r="B223" s="8">
        <f>Inspecciones!B223</f>
        <v/>
      </c>
      <c r="C223" s="8">
        <f>IFERROR(VLOOKUP(B223,Unidades!A:G,5,FALSE),"")</f>
        <v/>
      </c>
      <c r="D223" s="8">
        <f>IFERROR(VLOOKUP(B223,Unidades!A:G,6,FALSE),"")</f>
        <v/>
      </c>
      <c r="E223" s="8">
        <f>IFERROR(VLOOKUP(B223,Unidades!A:G,7,FALSE),"")</f>
        <v/>
      </c>
      <c r="F223" s="8">
        <f>IFERROR(VLOOKUP(B223,Unidades!A:G,2,FALSE),"")</f>
        <v/>
      </c>
      <c r="G223" s="8">
        <f>IFERROR(VLOOKUP(B223,Unidades!A:G,4,FALSE),"")</f>
        <v/>
      </c>
      <c r="H223" s="8">
        <f>Inspecciones!D223</f>
        <v/>
      </c>
      <c r="I223" s="8">
        <f>Inspecciones!E223</f>
        <v/>
      </c>
      <c r="J223" s="8">
        <f>Inspecciones!F223</f>
        <v/>
      </c>
      <c r="K223" s="8">
        <f>Inspecciones!G223</f>
        <v/>
      </c>
    </row>
    <row r="224">
      <c r="A224" s="7">
        <f>Inspecciones!A224</f>
        <v/>
      </c>
      <c r="B224" s="7">
        <f>Inspecciones!B224</f>
        <v/>
      </c>
      <c r="C224" s="7">
        <f>IFERROR(VLOOKUP(B224,Unidades!A:G,5,FALSE),"")</f>
        <v/>
      </c>
      <c r="D224" s="7">
        <f>IFERROR(VLOOKUP(B224,Unidades!A:G,6,FALSE),"")</f>
        <v/>
      </c>
      <c r="E224" s="7">
        <f>IFERROR(VLOOKUP(B224,Unidades!A:G,7,FALSE),"")</f>
        <v/>
      </c>
      <c r="F224" s="7">
        <f>IFERROR(VLOOKUP(B224,Unidades!A:G,2,FALSE),"")</f>
        <v/>
      </c>
      <c r="G224" s="7">
        <f>IFERROR(VLOOKUP(B224,Unidades!A:G,4,FALSE),"")</f>
        <v/>
      </c>
      <c r="H224" s="7">
        <f>Inspecciones!D224</f>
        <v/>
      </c>
      <c r="I224" s="7">
        <f>Inspecciones!E224</f>
        <v/>
      </c>
      <c r="J224" s="7">
        <f>Inspecciones!F224</f>
        <v/>
      </c>
      <c r="K224" s="7">
        <f>Inspecciones!G224</f>
        <v/>
      </c>
    </row>
    <row r="225">
      <c r="A225" s="8">
        <f>Inspecciones!A225</f>
        <v/>
      </c>
      <c r="B225" s="8">
        <f>Inspecciones!B225</f>
        <v/>
      </c>
      <c r="C225" s="8">
        <f>IFERROR(VLOOKUP(B225,Unidades!A:G,5,FALSE),"")</f>
        <v/>
      </c>
      <c r="D225" s="8">
        <f>IFERROR(VLOOKUP(B225,Unidades!A:G,6,FALSE),"")</f>
        <v/>
      </c>
      <c r="E225" s="8">
        <f>IFERROR(VLOOKUP(B225,Unidades!A:G,7,FALSE),"")</f>
        <v/>
      </c>
      <c r="F225" s="8">
        <f>IFERROR(VLOOKUP(B225,Unidades!A:G,2,FALSE),"")</f>
        <v/>
      </c>
      <c r="G225" s="8">
        <f>IFERROR(VLOOKUP(B225,Unidades!A:G,4,FALSE),"")</f>
        <v/>
      </c>
      <c r="H225" s="8">
        <f>Inspecciones!D225</f>
        <v/>
      </c>
      <c r="I225" s="8">
        <f>Inspecciones!E225</f>
        <v/>
      </c>
      <c r="J225" s="8">
        <f>Inspecciones!F225</f>
        <v/>
      </c>
      <c r="K225" s="8">
        <f>Inspecciones!G225</f>
        <v/>
      </c>
    </row>
    <row r="226">
      <c r="A226" s="7">
        <f>Inspecciones!A226</f>
        <v/>
      </c>
      <c r="B226" s="7">
        <f>Inspecciones!B226</f>
        <v/>
      </c>
      <c r="C226" s="7">
        <f>IFERROR(VLOOKUP(B226,Unidades!A:G,5,FALSE),"")</f>
        <v/>
      </c>
      <c r="D226" s="7">
        <f>IFERROR(VLOOKUP(B226,Unidades!A:G,6,FALSE),"")</f>
        <v/>
      </c>
      <c r="E226" s="7">
        <f>IFERROR(VLOOKUP(B226,Unidades!A:G,7,FALSE),"")</f>
        <v/>
      </c>
      <c r="F226" s="7">
        <f>IFERROR(VLOOKUP(B226,Unidades!A:G,2,FALSE),"")</f>
        <v/>
      </c>
      <c r="G226" s="7">
        <f>IFERROR(VLOOKUP(B226,Unidades!A:G,4,FALSE),"")</f>
        <v/>
      </c>
      <c r="H226" s="7">
        <f>Inspecciones!D226</f>
        <v/>
      </c>
      <c r="I226" s="7">
        <f>Inspecciones!E226</f>
        <v/>
      </c>
      <c r="J226" s="7">
        <f>Inspecciones!F226</f>
        <v/>
      </c>
      <c r="K226" s="7">
        <f>Inspecciones!G226</f>
        <v/>
      </c>
    </row>
    <row r="227">
      <c r="A227" s="8">
        <f>Inspecciones!A227</f>
        <v/>
      </c>
      <c r="B227" s="8">
        <f>Inspecciones!B227</f>
        <v/>
      </c>
      <c r="C227" s="8">
        <f>IFERROR(VLOOKUP(B227,Unidades!A:G,5,FALSE),"")</f>
        <v/>
      </c>
      <c r="D227" s="8">
        <f>IFERROR(VLOOKUP(B227,Unidades!A:G,6,FALSE),"")</f>
        <v/>
      </c>
      <c r="E227" s="8">
        <f>IFERROR(VLOOKUP(B227,Unidades!A:G,7,FALSE),"")</f>
        <v/>
      </c>
      <c r="F227" s="8">
        <f>IFERROR(VLOOKUP(B227,Unidades!A:G,2,FALSE),"")</f>
        <v/>
      </c>
      <c r="G227" s="8">
        <f>IFERROR(VLOOKUP(B227,Unidades!A:G,4,FALSE),"")</f>
        <v/>
      </c>
      <c r="H227" s="8">
        <f>Inspecciones!D227</f>
        <v/>
      </c>
      <c r="I227" s="8">
        <f>Inspecciones!E227</f>
        <v/>
      </c>
      <c r="J227" s="8">
        <f>Inspecciones!F227</f>
        <v/>
      </c>
      <c r="K227" s="8">
        <f>Inspecciones!G227</f>
        <v/>
      </c>
    </row>
    <row r="228">
      <c r="A228" s="7">
        <f>Inspecciones!A228</f>
        <v/>
      </c>
      <c r="B228" s="7">
        <f>Inspecciones!B228</f>
        <v/>
      </c>
      <c r="C228" s="7">
        <f>IFERROR(VLOOKUP(B228,Unidades!A:G,5,FALSE),"")</f>
        <v/>
      </c>
      <c r="D228" s="7">
        <f>IFERROR(VLOOKUP(B228,Unidades!A:G,6,FALSE),"")</f>
        <v/>
      </c>
      <c r="E228" s="7">
        <f>IFERROR(VLOOKUP(B228,Unidades!A:G,7,FALSE),"")</f>
        <v/>
      </c>
      <c r="F228" s="7">
        <f>IFERROR(VLOOKUP(B228,Unidades!A:G,2,FALSE),"")</f>
        <v/>
      </c>
      <c r="G228" s="7">
        <f>IFERROR(VLOOKUP(B228,Unidades!A:G,4,FALSE),"")</f>
        <v/>
      </c>
      <c r="H228" s="7">
        <f>Inspecciones!D228</f>
        <v/>
      </c>
      <c r="I228" s="7">
        <f>Inspecciones!E228</f>
        <v/>
      </c>
      <c r="J228" s="7">
        <f>Inspecciones!F228</f>
        <v/>
      </c>
      <c r="K228" s="7">
        <f>Inspecciones!G228</f>
        <v/>
      </c>
    </row>
    <row r="229">
      <c r="A229" s="8">
        <f>Inspecciones!A229</f>
        <v/>
      </c>
      <c r="B229" s="8">
        <f>Inspecciones!B229</f>
        <v/>
      </c>
      <c r="C229" s="8">
        <f>IFERROR(VLOOKUP(B229,Unidades!A:G,5,FALSE),"")</f>
        <v/>
      </c>
      <c r="D229" s="8">
        <f>IFERROR(VLOOKUP(B229,Unidades!A:G,6,FALSE),"")</f>
        <v/>
      </c>
      <c r="E229" s="8">
        <f>IFERROR(VLOOKUP(B229,Unidades!A:G,7,FALSE),"")</f>
        <v/>
      </c>
      <c r="F229" s="8">
        <f>IFERROR(VLOOKUP(B229,Unidades!A:G,2,FALSE),"")</f>
        <v/>
      </c>
      <c r="G229" s="8">
        <f>IFERROR(VLOOKUP(B229,Unidades!A:G,4,FALSE),"")</f>
        <v/>
      </c>
      <c r="H229" s="8">
        <f>Inspecciones!D229</f>
        <v/>
      </c>
      <c r="I229" s="8">
        <f>Inspecciones!E229</f>
        <v/>
      </c>
      <c r="J229" s="8">
        <f>Inspecciones!F229</f>
        <v/>
      </c>
      <c r="K229" s="8">
        <f>Inspecciones!G229</f>
        <v/>
      </c>
    </row>
    <row r="230">
      <c r="A230" s="7">
        <f>Inspecciones!A230</f>
        <v/>
      </c>
      <c r="B230" s="7">
        <f>Inspecciones!B230</f>
        <v/>
      </c>
      <c r="C230" s="7">
        <f>IFERROR(VLOOKUP(B230,Unidades!A:G,5,FALSE),"")</f>
        <v/>
      </c>
      <c r="D230" s="7">
        <f>IFERROR(VLOOKUP(B230,Unidades!A:G,6,FALSE),"")</f>
        <v/>
      </c>
      <c r="E230" s="7">
        <f>IFERROR(VLOOKUP(B230,Unidades!A:G,7,FALSE),"")</f>
        <v/>
      </c>
      <c r="F230" s="7">
        <f>IFERROR(VLOOKUP(B230,Unidades!A:G,2,FALSE),"")</f>
        <v/>
      </c>
      <c r="G230" s="7">
        <f>IFERROR(VLOOKUP(B230,Unidades!A:G,4,FALSE),"")</f>
        <v/>
      </c>
      <c r="H230" s="7">
        <f>Inspecciones!D230</f>
        <v/>
      </c>
      <c r="I230" s="7">
        <f>Inspecciones!E230</f>
        <v/>
      </c>
      <c r="J230" s="7">
        <f>Inspecciones!F230</f>
        <v/>
      </c>
      <c r="K230" s="7">
        <f>Inspecciones!G230</f>
        <v/>
      </c>
    </row>
    <row r="231">
      <c r="A231" s="8">
        <f>Inspecciones!A231</f>
        <v/>
      </c>
      <c r="B231" s="8">
        <f>Inspecciones!B231</f>
        <v/>
      </c>
      <c r="C231" s="8">
        <f>IFERROR(VLOOKUP(B231,Unidades!A:G,5,FALSE),"")</f>
        <v/>
      </c>
      <c r="D231" s="8">
        <f>IFERROR(VLOOKUP(B231,Unidades!A:G,6,FALSE),"")</f>
        <v/>
      </c>
      <c r="E231" s="8">
        <f>IFERROR(VLOOKUP(B231,Unidades!A:G,7,FALSE),"")</f>
        <v/>
      </c>
      <c r="F231" s="8">
        <f>IFERROR(VLOOKUP(B231,Unidades!A:G,2,FALSE),"")</f>
        <v/>
      </c>
      <c r="G231" s="8">
        <f>IFERROR(VLOOKUP(B231,Unidades!A:G,4,FALSE),"")</f>
        <v/>
      </c>
      <c r="H231" s="8">
        <f>Inspecciones!D231</f>
        <v/>
      </c>
      <c r="I231" s="8">
        <f>Inspecciones!E231</f>
        <v/>
      </c>
      <c r="J231" s="8">
        <f>Inspecciones!F231</f>
        <v/>
      </c>
      <c r="K231" s="8">
        <f>Inspecciones!G231</f>
        <v/>
      </c>
    </row>
    <row r="232">
      <c r="A232" s="7">
        <f>Inspecciones!A232</f>
        <v/>
      </c>
      <c r="B232" s="7">
        <f>Inspecciones!B232</f>
        <v/>
      </c>
      <c r="C232" s="7">
        <f>IFERROR(VLOOKUP(B232,Unidades!A:G,5,FALSE),"")</f>
        <v/>
      </c>
      <c r="D232" s="7">
        <f>IFERROR(VLOOKUP(B232,Unidades!A:G,6,FALSE),"")</f>
        <v/>
      </c>
      <c r="E232" s="7">
        <f>IFERROR(VLOOKUP(B232,Unidades!A:G,7,FALSE),"")</f>
        <v/>
      </c>
      <c r="F232" s="7">
        <f>IFERROR(VLOOKUP(B232,Unidades!A:G,2,FALSE),"")</f>
        <v/>
      </c>
      <c r="G232" s="7">
        <f>IFERROR(VLOOKUP(B232,Unidades!A:G,4,FALSE),"")</f>
        <v/>
      </c>
      <c r="H232" s="7">
        <f>Inspecciones!D232</f>
        <v/>
      </c>
      <c r="I232" s="7">
        <f>Inspecciones!E232</f>
        <v/>
      </c>
      <c r="J232" s="7">
        <f>Inspecciones!F232</f>
        <v/>
      </c>
      <c r="K232" s="7">
        <f>Inspecciones!G232</f>
        <v/>
      </c>
    </row>
    <row r="233">
      <c r="A233" s="8">
        <f>Inspecciones!A233</f>
        <v/>
      </c>
      <c r="B233" s="8">
        <f>Inspecciones!B233</f>
        <v/>
      </c>
      <c r="C233" s="8">
        <f>IFERROR(VLOOKUP(B233,Unidades!A:G,5,FALSE),"")</f>
        <v/>
      </c>
      <c r="D233" s="8">
        <f>IFERROR(VLOOKUP(B233,Unidades!A:G,6,FALSE),"")</f>
        <v/>
      </c>
      <c r="E233" s="8">
        <f>IFERROR(VLOOKUP(B233,Unidades!A:G,7,FALSE),"")</f>
        <v/>
      </c>
      <c r="F233" s="8">
        <f>IFERROR(VLOOKUP(B233,Unidades!A:G,2,FALSE),"")</f>
        <v/>
      </c>
      <c r="G233" s="8">
        <f>IFERROR(VLOOKUP(B233,Unidades!A:G,4,FALSE),"")</f>
        <v/>
      </c>
      <c r="H233" s="8">
        <f>Inspecciones!D233</f>
        <v/>
      </c>
      <c r="I233" s="8">
        <f>Inspecciones!E233</f>
        <v/>
      </c>
      <c r="J233" s="8">
        <f>Inspecciones!F233</f>
        <v/>
      </c>
      <c r="K233" s="8">
        <f>Inspecciones!G233</f>
        <v/>
      </c>
    </row>
    <row r="234">
      <c r="A234" s="7">
        <f>Inspecciones!A234</f>
        <v/>
      </c>
      <c r="B234" s="7">
        <f>Inspecciones!B234</f>
        <v/>
      </c>
      <c r="C234" s="7">
        <f>IFERROR(VLOOKUP(B234,Unidades!A:G,5,FALSE),"")</f>
        <v/>
      </c>
      <c r="D234" s="7">
        <f>IFERROR(VLOOKUP(B234,Unidades!A:G,6,FALSE),"")</f>
        <v/>
      </c>
      <c r="E234" s="7">
        <f>IFERROR(VLOOKUP(B234,Unidades!A:G,7,FALSE),"")</f>
        <v/>
      </c>
      <c r="F234" s="7">
        <f>IFERROR(VLOOKUP(B234,Unidades!A:G,2,FALSE),"")</f>
        <v/>
      </c>
      <c r="G234" s="7">
        <f>IFERROR(VLOOKUP(B234,Unidades!A:G,4,FALSE),"")</f>
        <v/>
      </c>
      <c r="H234" s="7">
        <f>Inspecciones!D234</f>
        <v/>
      </c>
      <c r="I234" s="7">
        <f>Inspecciones!E234</f>
        <v/>
      </c>
      <c r="J234" s="7">
        <f>Inspecciones!F234</f>
        <v/>
      </c>
      <c r="K234" s="7">
        <f>Inspecciones!G234</f>
        <v/>
      </c>
    </row>
    <row r="235">
      <c r="A235" s="8">
        <f>Inspecciones!A235</f>
        <v/>
      </c>
      <c r="B235" s="8">
        <f>Inspecciones!B235</f>
        <v/>
      </c>
      <c r="C235" s="8">
        <f>IFERROR(VLOOKUP(B235,Unidades!A:G,5,FALSE),"")</f>
        <v/>
      </c>
      <c r="D235" s="8">
        <f>IFERROR(VLOOKUP(B235,Unidades!A:G,6,FALSE),"")</f>
        <v/>
      </c>
      <c r="E235" s="8">
        <f>IFERROR(VLOOKUP(B235,Unidades!A:G,7,FALSE),"")</f>
        <v/>
      </c>
      <c r="F235" s="8">
        <f>IFERROR(VLOOKUP(B235,Unidades!A:G,2,FALSE),"")</f>
        <v/>
      </c>
      <c r="G235" s="8">
        <f>IFERROR(VLOOKUP(B235,Unidades!A:G,4,FALSE),"")</f>
        <v/>
      </c>
      <c r="H235" s="8">
        <f>Inspecciones!D235</f>
        <v/>
      </c>
      <c r="I235" s="8">
        <f>Inspecciones!E235</f>
        <v/>
      </c>
      <c r="J235" s="8">
        <f>Inspecciones!F235</f>
        <v/>
      </c>
      <c r="K235" s="8">
        <f>Inspecciones!G235</f>
        <v/>
      </c>
    </row>
    <row r="236">
      <c r="A236" s="7">
        <f>Inspecciones!A236</f>
        <v/>
      </c>
      <c r="B236" s="7">
        <f>Inspecciones!B236</f>
        <v/>
      </c>
      <c r="C236" s="7">
        <f>IFERROR(VLOOKUP(B236,Unidades!A:G,5,FALSE),"")</f>
        <v/>
      </c>
      <c r="D236" s="7">
        <f>IFERROR(VLOOKUP(B236,Unidades!A:G,6,FALSE),"")</f>
        <v/>
      </c>
      <c r="E236" s="7">
        <f>IFERROR(VLOOKUP(B236,Unidades!A:G,7,FALSE),"")</f>
        <v/>
      </c>
      <c r="F236" s="7">
        <f>IFERROR(VLOOKUP(B236,Unidades!A:G,2,FALSE),"")</f>
        <v/>
      </c>
      <c r="G236" s="7">
        <f>IFERROR(VLOOKUP(B236,Unidades!A:G,4,FALSE),"")</f>
        <v/>
      </c>
      <c r="H236" s="7">
        <f>Inspecciones!D236</f>
        <v/>
      </c>
      <c r="I236" s="7">
        <f>Inspecciones!E236</f>
        <v/>
      </c>
      <c r="J236" s="7">
        <f>Inspecciones!F236</f>
        <v/>
      </c>
      <c r="K236" s="7">
        <f>Inspecciones!G236</f>
        <v/>
      </c>
    </row>
    <row r="237">
      <c r="A237" s="8">
        <f>Inspecciones!A237</f>
        <v/>
      </c>
      <c r="B237" s="8">
        <f>Inspecciones!B237</f>
        <v/>
      </c>
      <c r="C237" s="8">
        <f>IFERROR(VLOOKUP(B237,Unidades!A:G,5,FALSE),"")</f>
        <v/>
      </c>
      <c r="D237" s="8">
        <f>IFERROR(VLOOKUP(B237,Unidades!A:G,6,FALSE),"")</f>
        <v/>
      </c>
      <c r="E237" s="8">
        <f>IFERROR(VLOOKUP(B237,Unidades!A:G,7,FALSE),"")</f>
        <v/>
      </c>
      <c r="F237" s="8">
        <f>IFERROR(VLOOKUP(B237,Unidades!A:G,2,FALSE),"")</f>
        <v/>
      </c>
      <c r="G237" s="8">
        <f>IFERROR(VLOOKUP(B237,Unidades!A:G,4,FALSE),"")</f>
        <v/>
      </c>
      <c r="H237" s="8">
        <f>Inspecciones!D237</f>
        <v/>
      </c>
      <c r="I237" s="8">
        <f>Inspecciones!E237</f>
        <v/>
      </c>
      <c r="J237" s="8">
        <f>Inspecciones!F237</f>
        <v/>
      </c>
      <c r="K237" s="8">
        <f>Inspecciones!G237</f>
        <v/>
      </c>
    </row>
    <row r="238">
      <c r="A238" s="7">
        <f>Inspecciones!A238</f>
        <v/>
      </c>
      <c r="B238" s="7">
        <f>Inspecciones!B238</f>
        <v/>
      </c>
      <c r="C238" s="7">
        <f>IFERROR(VLOOKUP(B238,Unidades!A:G,5,FALSE),"")</f>
        <v/>
      </c>
      <c r="D238" s="7">
        <f>IFERROR(VLOOKUP(B238,Unidades!A:G,6,FALSE),"")</f>
        <v/>
      </c>
      <c r="E238" s="7">
        <f>IFERROR(VLOOKUP(B238,Unidades!A:G,7,FALSE),"")</f>
        <v/>
      </c>
      <c r="F238" s="7">
        <f>IFERROR(VLOOKUP(B238,Unidades!A:G,2,FALSE),"")</f>
        <v/>
      </c>
      <c r="G238" s="7">
        <f>IFERROR(VLOOKUP(B238,Unidades!A:G,4,FALSE),"")</f>
        <v/>
      </c>
      <c r="H238" s="7">
        <f>Inspecciones!D238</f>
        <v/>
      </c>
      <c r="I238" s="7">
        <f>Inspecciones!E238</f>
        <v/>
      </c>
      <c r="J238" s="7">
        <f>Inspecciones!F238</f>
        <v/>
      </c>
      <c r="K238" s="7">
        <f>Inspecciones!G238</f>
        <v/>
      </c>
    </row>
    <row r="239">
      <c r="A239" s="8">
        <f>Inspecciones!A239</f>
        <v/>
      </c>
      <c r="B239" s="8">
        <f>Inspecciones!B239</f>
        <v/>
      </c>
      <c r="C239" s="8">
        <f>IFERROR(VLOOKUP(B239,Unidades!A:G,5,FALSE),"")</f>
        <v/>
      </c>
      <c r="D239" s="8">
        <f>IFERROR(VLOOKUP(B239,Unidades!A:G,6,FALSE),"")</f>
        <v/>
      </c>
      <c r="E239" s="8">
        <f>IFERROR(VLOOKUP(B239,Unidades!A:G,7,FALSE),"")</f>
        <v/>
      </c>
      <c r="F239" s="8">
        <f>IFERROR(VLOOKUP(B239,Unidades!A:G,2,FALSE),"")</f>
        <v/>
      </c>
      <c r="G239" s="8">
        <f>IFERROR(VLOOKUP(B239,Unidades!A:G,4,FALSE),"")</f>
        <v/>
      </c>
      <c r="H239" s="8">
        <f>Inspecciones!D239</f>
        <v/>
      </c>
      <c r="I239" s="8">
        <f>Inspecciones!E239</f>
        <v/>
      </c>
      <c r="J239" s="8">
        <f>Inspecciones!F239</f>
        <v/>
      </c>
      <c r="K239" s="8">
        <f>Inspecciones!G239</f>
        <v/>
      </c>
    </row>
    <row r="240">
      <c r="A240" s="7">
        <f>Inspecciones!A240</f>
        <v/>
      </c>
      <c r="B240" s="7">
        <f>Inspecciones!B240</f>
        <v/>
      </c>
      <c r="C240" s="7">
        <f>IFERROR(VLOOKUP(B240,Unidades!A:G,5,FALSE),"")</f>
        <v/>
      </c>
      <c r="D240" s="7">
        <f>IFERROR(VLOOKUP(B240,Unidades!A:G,6,FALSE),"")</f>
        <v/>
      </c>
      <c r="E240" s="7">
        <f>IFERROR(VLOOKUP(B240,Unidades!A:G,7,FALSE),"")</f>
        <v/>
      </c>
      <c r="F240" s="7">
        <f>IFERROR(VLOOKUP(B240,Unidades!A:G,2,FALSE),"")</f>
        <v/>
      </c>
      <c r="G240" s="7">
        <f>IFERROR(VLOOKUP(B240,Unidades!A:G,4,FALSE),"")</f>
        <v/>
      </c>
      <c r="H240" s="7">
        <f>Inspecciones!D240</f>
        <v/>
      </c>
      <c r="I240" s="7">
        <f>Inspecciones!E240</f>
        <v/>
      </c>
      <c r="J240" s="7">
        <f>Inspecciones!F240</f>
        <v/>
      </c>
      <c r="K240" s="7">
        <f>Inspecciones!G240</f>
        <v/>
      </c>
    </row>
    <row r="241">
      <c r="A241" s="8">
        <f>Inspecciones!A241</f>
        <v/>
      </c>
      <c r="B241" s="8">
        <f>Inspecciones!B241</f>
        <v/>
      </c>
      <c r="C241" s="8">
        <f>IFERROR(VLOOKUP(B241,Unidades!A:G,5,FALSE),"")</f>
        <v/>
      </c>
      <c r="D241" s="8">
        <f>IFERROR(VLOOKUP(B241,Unidades!A:G,6,FALSE),"")</f>
        <v/>
      </c>
      <c r="E241" s="8">
        <f>IFERROR(VLOOKUP(B241,Unidades!A:G,7,FALSE),"")</f>
        <v/>
      </c>
      <c r="F241" s="8">
        <f>IFERROR(VLOOKUP(B241,Unidades!A:G,2,FALSE),"")</f>
        <v/>
      </c>
      <c r="G241" s="8">
        <f>IFERROR(VLOOKUP(B241,Unidades!A:G,4,FALSE),"")</f>
        <v/>
      </c>
      <c r="H241" s="8">
        <f>Inspecciones!D241</f>
        <v/>
      </c>
      <c r="I241" s="8">
        <f>Inspecciones!E241</f>
        <v/>
      </c>
      <c r="J241" s="8">
        <f>Inspecciones!F241</f>
        <v/>
      </c>
      <c r="K241" s="8">
        <f>Inspecciones!G241</f>
        <v/>
      </c>
    </row>
    <row r="242">
      <c r="A242" s="7">
        <f>Inspecciones!A242</f>
        <v/>
      </c>
      <c r="B242" s="7">
        <f>Inspecciones!B242</f>
        <v/>
      </c>
      <c r="C242" s="7">
        <f>IFERROR(VLOOKUP(B242,Unidades!A:G,5,FALSE),"")</f>
        <v/>
      </c>
      <c r="D242" s="7">
        <f>IFERROR(VLOOKUP(B242,Unidades!A:G,6,FALSE),"")</f>
        <v/>
      </c>
      <c r="E242" s="7">
        <f>IFERROR(VLOOKUP(B242,Unidades!A:G,7,FALSE),"")</f>
        <v/>
      </c>
      <c r="F242" s="7">
        <f>IFERROR(VLOOKUP(B242,Unidades!A:G,2,FALSE),"")</f>
        <v/>
      </c>
      <c r="G242" s="7">
        <f>IFERROR(VLOOKUP(B242,Unidades!A:G,4,FALSE),"")</f>
        <v/>
      </c>
      <c r="H242" s="7">
        <f>Inspecciones!D242</f>
        <v/>
      </c>
      <c r="I242" s="7">
        <f>Inspecciones!E242</f>
        <v/>
      </c>
      <c r="J242" s="7">
        <f>Inspecciones!F242</f>
        <v/>
      </c>
      <c r="K242" s="7">
        <f>Inspecciones!G242</f>
        <v/>
      </c>
    </row>
    <row r="243">
      <c r="A243" s="8">
        <f>Inspecciones!A243</f>
        <v/>
      </c>
      <c r="B243" s="8">
        <f>Inspecciones!B243</f>
        <v/>
      </c>
      <c r="C243" s="8">
        <f>IFERROR(VLOOKUP(B243,Unidades!A:G,5,FALSE),"")</f>
        <v/>
      </c>
      <c r="D243" s="8">
        <f>IFERROR(VLOOKUP(B243,Unidades!A:G,6,FALSE),"")</f>
        <v/>
      </c>
      <c r="E243" s="8">
        <f>IFERROR(VLOOKUP(B243,Unidades!A:G,7,FALSE),"")</f>
        <v/>
      </c>
      <c r="F243" s="8">
        <f>IFERROR(VLOOKUP(B243,Unidades!A:G,2,FALSE),"")</f>
        <v/>
      </c>
      <c r="G243" s="8">
        <f>IFERROR(VLOOKUP(B243,Unidades!A:G,4,FALSE),"")</f>
        <v/>
      </c>
      <c r="H243" s="8">
        <f>Inspecciones!D243</f>
        <v/>
      </c>
      <c r="I243" s="8">
        <f>Inspecciones!E243</f>
        <v/>
      </c>
      <c r="J243" s="8">
        <f>Inspecciones!F243</f>
        <v/>
      </c>
      <c r="K243" s="8">
        <f>Inspecciones!G243</f>
        <v/>
      </c>
    </row>
    <row r="244">
      <c r="A244" s="7">
        <f>Inspecciones!A244</f>
        <v/>
      </c>
      <c r="B244" s="7">
        <f>Inspecciones!B244</f>
        <v/>
      </c>
      <c r="C244" s="7">
        <f>IFERROR(VLOOKUP(B244,Unidades!A:G,5,FALSE),"")</f>
        <v/>
      </c>
      <c r="D244" s="7">
        <f>IFERROR(VLOOKUP(B244,Unidades!A:G,6,FALSE),"")</f>
        <v/>
      </c>
      <c r="E244" s="7">
        <f>IFERROR(VLOOKUP(B244,Unidades!A:G,7,FALSE),"")</f>
        <v/>
      </c>
      <c r="F244" s="7">
        <f>IFERROR(VLOOKUP(B244,Unidades!A:G,2,FALSE),"")</f>
        <v/>
      </c>
      <c r="G244" s="7">
        <f>IFERROR(VLOOKUP(B244,Unidades!A:G,4,FALSE),"")</f>
        <v/>
      </c>
      <c r="H244" s="7">
        <f>Inspecciones!D244</f>
        <v/>
      </c>
      <c r="I244" s="7">
        <f>Inspecciones!E244</f>
        <v/>
      </c>
      <c r="J244" s="7">
        <f>Inspecciones!F244</f>
        <v/>
      </c>
      <c r="K244" s="7">
        <f>Inspecciones!G244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22" customWidth="1" min="5" max="5"/>
    <col width="12" customWidth="1" min="6" max="6"/>
  </cols>
  <sheetData>
    <row r="1" ht="28" customHeight="1">
      <c r="A1" s="6" t="inlineStr">
        <is>
          <t>Parte del vehículo</t>
        </is>
      </c>
      <c r="B1" s="6" t="inlineStr">
        <is>
          <t>Cantidad de daños</t>
        </is>
      </c>
      <c r="C1" s="6" t="inlineStr">
        <is>
          <t>% del total</t>
        </is>
      </c>
      <c r="E1" s="6" t="inlineStr">
        <is>
          <t>Tipo de daño</t>
        </is>
      </c>
      <c r="F1" s="6" t="inlineStr">
        <is>
          <t>Cantidad</t>
        </is>
      </c>
    </row>
    <row r="2">
      <c r="A2" s="3" t="inlineStr">
        <is>
          <t>Paragolpe delantero</t>
        </is>
      </c>
      <c r="B2" s="2" t="n">
        <v>14</v>
      </c>
      <c r="C2" s="9">
        <f>B2/SUM($B$2:$B$31)</f>
        <v/>
      </c>
      <c r="E2" s="3" t="inlineStr">
        <is>
          <t>Fallo de pintura</t>
        </is>
      </c>
      <c r="F2" s="2" t="n">
        <v>28</v>
      </c>
    </row>
    <row r="3">
      <c r="A3" s="5" t="inlineStr">
        <is>
          <t>Espejo exterior derecho</t>
        </is>
      </c>
      <c r="B3" s="4" t="n">
        <v>13</v>
      </c>
      <c r="C3" s="10">
        <f>B3/SUM($B$2:$B$32)</f>
        <v/>
      </c>
      <c r="E3" s="5" t="inlineStr">
        <is>
          <t>Filo de panel</t>
        </is>
      </c>
      <c r="F3" s="4" t="n">
        <v>27</v>
      </c>
    </row>
    <row r="4">
      <c r="A4" s="3" t="inlineStr">
        <is>
          <t>Guardabarro delantero derecho</t>
        </is>
      </c>
      <c r="B4" s="2" t="n">
        <v>12</v>
      </c>
      <c r="C4" s="9">
        <f>B4/SUM($B$2:$B$33)</f>
        <v/>
      </c>
      <c r="E4" s="3" t="inlineStr">
        <is>
          <t>Cortado</t>
        </is>
      </c>
      <c r="F4" s="2" t="n">
        <v>27</v>
      </c>
    </row>
    <row r="5">
      <c r="A5" s="5" t="inlineStr">
        <is>
          <t>Parabrisas delantero</t>
        </is>
      </c>
      <c r="B5" s="4" t="n">
        <v>11</v>
      </c>
      <c r="C5" s="10">
        <f>B5/SUM($B$2:$B$34)</f>
        <v/>
      </c>
      <c r="E5" s="5" t="inlineStr">
        <is>
          <t>Roto</t>
        </is>
      </c>
      <c r="F5" s="4" t="n">
        <v>26</v>
      </c>
    </row>
    <row r="6">
      <c r="A6" s="3" t="inlineStr">
        <is>
          <t>Guardabarro delantero izquierdo</t>
        </is>
      </c>
      <c r="B6" s="2" t="n">
        <v>10</v>
      </c>
      <c r="C6" s="9">
        <f>B6/SUM($B$2:$B$35)</f>
        <v/>
      </c>
      <c r="E6" s="3" t="inlineStr">
        <is>
          <t>Abollado</t>
        </is>
      </c>
      <c r="F6" s="2" t="n">
        <v>25</v>
      </c>
    </row>
    <row r="7">
      <c r="A7" s="5" t="inlineStr">
        <is>
          <t>Zócalo lateral derecho</t>
        </is>
      </c>
      <c r="B7" s="4" t="n">
        <v>10</v>
      </c>
      <c r="C7" s="10">
        <f>B7/SUM($B$2:$B$36)</f>
        <v/>
      </c>
      <c r="E7" s="5" t="inlineStr">
        <is>
          <t>Mellado</t>
        </is>
      </c>
      <c r="F7" s="4" t="n">
        <v>24</v>
      </c>
    </row>
    <row r="8">
      <c r="A8" s="3" t="inlineStr">
        <is>
          <t>Optica trasera izquierda</t>
        </is>
      </c>
      <c r="B8" s="2" t="n">
        <v>10</v>
      </c>
      <c r="C8" s="9">
        <f>B8/SUM($B$2:$B$37)</f>
        <v/>
      </c>
      <c r="E8" s="3" t="inlineStr">
        <is>
          <t>Rayado</t>
        </is>
      </c>
      <c r="F8" s="2" t="n">
        <v>23</v>
      </c>
    </row>
    <row r="9">
      <c r="A9" s="5" t="inlineStr">
        <is>
          <t>Guardabarro trasero derecho</t>
        </is>
      </c>
      <c r="B9" s="4" t="n">
        <v>10</v>
      </c>
      <c r="C9" s="10">
        <f>B9/SUM($B$2:$B$38)</f>
        <v/>
      </c>
      <c r="E9" s="5" t="inlineStr">
        <is>
          <t>Faltante</t>
        </is>
      </c>
      <c r="F9" s="4" t="n">
        <v>22</v>
      </c>
    </row>
    <row r="10">
      <c r="A10" s="3" t="inlineStr">
        <is>
          <t>Puerta delantera derecha</t>
        </is>
      </c>
      <c r="B10" s="2" t="n">
        <v>10</v>
      </c>
      <c r="C10" s="9">
        <f>B10/SUM($B$2:$B$39)</f>
        <v/>
      </c>
      <c r="E10" s="3" t="inlineStr">
        <is>
          <t>Doblado</t>
        </is>
      </c>
      <c r="F10" s="2" t="n">
        <v>22</v>
      </c>
    </row>
    <row r="11">
      <c r="A11" s="5" t="inlineStr">
        <is>
          <t>Puerta trasera derecha</t>
        </is>
      </c>
      <c r="B11" s="4" t="n">
        <v>9</v>
      </c>
      <c r="C11" s="10">
        <f>B11/SUM($B$2:$B$40)</f>
        <v/>
      </c>
      <c r="E11" s="5" t="inlineStr">
        <is>
          <t>Desprendido</t>
        </is>
      </c>
      <c r="F11" s="4" t="n">
        <v>19</v>
      </c>
    </row>
    <row r="12">
      <c r="A12" s="3" t="inlineStr">
        <is>
          <t>Puerta trasera izquierda</t>
        </is>
      </c>
      <c r="B12" s="2" t="n">
        <v>9</v>
      </c>
      <c r="C12" s="9">
        <f>B12/SUM($B$2:$B$41)</f>
        <v/>
      </c>
    </row>
    <row r="13">
      <c r="A13" s="5" t="inlineStr">
        <is>
          <t>Puerta delantera izquierda</t>
        </is>
      </c>
      <c r="B13" s="4" t="n">
        <v>9</v>
      </c>
      <c r="C13" s="10">
        <f>B13/SUM($B$2:$B$42)</f>
        <v/>
      </c>
    </row>
    <row r="14">
      <c r="A14" s="3" t="inlineStr">
        <is>
          <t>Paragolpe trasero</t>
        </is>
      </c>
      <c r="B14" s="2" t="n">
        <v>9</v>
      </c>
      <c r="C14" s="9">
        <f>B14/SUM($B$2:$B$43)</f>
        <v/>
      </c>
    </row>
    <row r="15">
      <c r="A15" s="5" t="inlineStr">
        <is>
          <t>Techo</t>
        </is>
      </c>
      <c r="B15" s="4" t="n">
        <v>9</v>
      </c>
      <c r="C15" s="10">
        <f>B15/SUM($B$2:$B$44)</f>
        <v/>
      </c>
    </row>
    <row r="16">
      <c r="A16" s="3" t="inlineStr">
        <is>
          <t>Capot</t>
        </is>
      </c>
      <c r="B16" s="2" t="n">
        <v>9</v>
      </c>
      <c r="C16" s="9">
        <f>B16/SUM($B$2:$B$45)</f>
        <v/>
      </c>
    </row>
    <row r="17">
      <c r="A17" s="5" t="inlineStr">
        <is>
          <t>Pilar delantero izquierdo</t>
        </is>
      </c>
      <c r="B17" s="4" t="n">
        <v>8</v>
      </c>
      <c r="C17" s="10">
        <f>B17/SUM($B$2:$B$46)</f>
        <v/>
      </c>
    </row>
    <row r="18">
      <c r="A18" s="3" t="inlineStr">
        <is>
          <t>Llantas</t>
        </is>
      </c>
      <c r="B18" s="2" t="n">
        <v>8</v>
      </c>
      <c r="C18" s="9">
        <f>B18/SUM($B$2:$B$47)</f>
        <v/>
      </c>
    </row>
    <row r="19">
      <c r="A19" s="5" t="inlineStr">
        <is>
          <t>Estribo lateral derecho</t>
        </is>
      </c>
      <c r="B19" s="4" t="n">
        <v>8</v>
      </c>
      <c r="C19" s="10">
        <f>B19/SUM($B$2:$B$48)</f>
        <v/>
      </c>
    </row>
    <row r="20">
      <c r="A20" s="3" t="inlineStr">
        <is>
          <t>Guardabarro trasero izquierdo</t>
        </is>
      </c>
      <c r="B20" s="2" t="n">
        <v>8</v>
      </c>
      <c r="C20" s="9">
        <f>B20/SUM($B$2:$B$49)</f>
        <v/>
      </c>
    </row>
    <row r="21">
      <c r="A21" s="5" t="inlineStr">
        <is>
          <t>Pilar trasero derecho</t>
        </is>
      </c>
      <c r="B21" s="4" t="n">
        <v>7</v>
      </c>
      <c r="C21" s="10">
        <f>B21/SUM($B$2:$B$50)</f>
        <v/>
      </c>
    </row>
    <row r="22">
      <c r="A22" s="3" t="inlineStr">
        <is>
          <t>Interior caja pick-up (Hilux)</t>
        </is>
      </c>
      <c r="B22" s="2" t="n">
        <v>7</v>
      </c>
      <c r="C22" s="9">
        <f>B22/SUM($B$2:$B$51)</f>
        <v/>
      </c>
    </row>
    <row r="23">
      <c r="A23" s="5" t="inlineStr">
        <is>
          <t>Parrilla</t>
        </is>
      </c>
      <c r="B23" s="4" t="n">
        <v>6</v>
      </c>
      <c r="C23" s="10">
        <f>B23/SUM($B$2:$B$52)</f>
        <v/>
      </c>
    </row>
    <row r="24">
      <c r="A24" s="3" t="inlineStr">
        <is>
          <t>Zócalo lateral izquierdo</t>
        </is>
      </c>
      <c r="B24" s="2" t="n">
        <v>6</v>
      </c>
      <c r="C24" s="9">
        <f>B24/SUM($B$2:$B$53)</f>
        <v/>
      </c>
    </row>
    <row r="25">
      <c r="A25" s="5" t="inlineStr">
        <is>
          <t>Optica trasera derecha</t>
        </is>
      </c>
      <c r="B25" s="4" t="n">
        <v>5</v>
      </c>
      <c r="C25" s="10">
        <f>B25/SUM($B$2:$B$54)</f>
        <v/>
      </c>
    </row>
    <row r="26">
      <c r="A26" s="3" t="inlineStr">
        <is>
          <t>Pilar delantero derecho</t>
        </is>
      </c>
      <c r="B26" s="2" t="n">
        <v>5</v>
      </c>
      <c r="C26" s="9">
        <f>B26/SUM($B$2:$B$55)</f>
        <v/>
      </c>
    </row>
    <row r="27">
      <c r="A27" s="5" t="inlineStr">
        <is>
          <t>Optica delantera derecha</t>
        </is>
      </c>
      <c r="B27" s="4" t="n">
        <v>5</v>
      </c>
      <c r="C27" s="10">
        <f>B27/SUM($B$2:$B$56)</f>
        <v/>
      </c>
    </row>
    <row r="28">
      <c r="A28" s="3" t="inlineStr">
        <is>
          <t>Espejo exterior izquierdo</t>
        </is>
      </c>
      <c r="B28" s="2" t="n">
        <v>4</v>
      </c>
      <c r="C28" s="9">
        <f>B28/SUM($B$2:$B$57)</f>
        <v/>
      </c>
    </row>
    <row r="29">
      <c r="A29" s="5" t="inlineStr">
        <is>
          <t>Pilar trasero izquierdo</t>
        </is>
      </c>
      <c r="B29" s="4" t="n">
        <v>4</v>
      </c>
      <c r="C29" s="10">
        <f>B29/SUM($B$2:$B$58)</f>
        <v/>
      </c>
    </row>
    <row r="30">
      <c r="A30" s="3" t="inlineStr">
        <is>
          <t>Estribo lateral izquierdo</t>
        </is>
      </c>
      <c r="B30" s="2" t="n">
        <v>4</v>
      </c>
      <c r="C30" s="9">
        <f>B30/SUM($B$2:$B$59)</f>
        <v/>
      </c>
    </row>
    <row r="31">
      <c r="A31" s="5" t="inlineStr">
        <is>
          <t>Optica delantera izquierda</t>
        </is>
      </c>
      <c r="B31" s="4" t="n">
        <v>4</v>
      </c>
      <c r="C31" s="10">
        <f>B31/SUM($B$2:$B$60)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2026-04-08T19:23:21Z</dcterms:created>
  <dcterms:modified xmlns:dcterms="http://purl.org/dc/terms/" xmlns:xsi="http://www.w3.org/2001/XMLSchema-instance" xsi:type="dcterms:W3CDTF">2026-04-08T19:23:22Z</dcterms:modified>
</cp:coreProperties>
</file>